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Parameters" sheetId="1" r:id="rId5"/>
    <sheet state="visible" name="Sensitivity Analysis" sheetId="2" r:id="rId6"/>
  </sheets>
  <definedNames/>
  <calcPr/>
</workbook>
</file>

<file path=xl/sharedStrings.xml><?xml version="1.0" encoding="utf-8"?>
<sst xmlns="http://schemas.openxmlformats.org/spreadsheetml/2006/main" count="74" uniqueCount="59">
  <si>
    <t>System Parameters (defined by hardware)</t>
  </si>
  <si>
    <t>Profiles (usage of each component mode - defined by software and usage)</t>
  </si>
  <si>
    <t>form the datasheets</t>
  </si>
  <si>
    <t>High-Frequency Mode: The sensor operates at frequent intervals (e.g., every 15 minutes) to track potential movement or environmental changes shortly after being placed in the refrigerator.</t>
  </si>
  <si>
    <t>Low-Frequency Mode: The sensor reduces its activity, performing periodic measurements (e.g., every 4 hours) to conserve energy while monitoring stable conditions.</t>
  </si>
  <si>
    <t>"off"</t>
  </si>
  <si>
    <t>"High-frequencysensing"</t>
  </si>
  <si>
    <t>"Low-frequencysensing"</t>
  </si>
  <si>
    <t>Processor: XIAO ESP32C3</t>
  </si>
  <si>
    <r>
      <rPr/>
      <t xml:space="preserve"> </t>
    </r>
    <r>
      <rPr>
        <color rgb="FF1155CC"/>
        <u/>
      </rPr>
      <t xml:space="preserve">       https://www.espressif.com/sites/default/files/documentation/esp32-c3_datasheet_en.pdf</t>
    </r>
  </si>
  <si>
    <t>Active</t>
  </si>
  <si>
    <t>mW</t>
  </si>
  <si>
    <t>Idle</t>
  </si>
  <si>
    <t>Sleep</t>
  </si>
  <si>
    <t>Sensor: HTU21D</t>
  </si>
  <si>
    <t>https://cdn-shop.adafruit.com/datasheets/1899_HTU21D.pdf</t>
  </si>
  <si>
    <t>On</t>
  </si>
  <si>
    <t>N/A</t>
  </si>
  <si>
    <t>Off</t>
  </si>
  <si>
    <t>Radio: XIAO ESP32C3 BLE</t>
  </si>
  <si>
    <t>Data Rate</t>
  </si>
  <si>
    <t>bps</t>
  </si>
  <si>
    <t>80x8/15s</t>
  </si>
  <si>
    <t>Total power in profile (mw)</t>
  </si>
  <si>
    <t xml:space="preserve">Maximum Time </t>
  </si>
  <si>
    <t>Standby Power</t>
  </si>
  <si>
    <t>hours</t>
  </si>
  <si>
    <t>TX Power</t>
  </si>
  <si>
    <t>RX Power</t>
  </si>
  <si>
    <t>hour/day typical usage</t>
  </si>
  <si>
    <t>Effective Battery Capacity</t>
  </si>
  <si>
    <t>Battery:LIR2032</t>
  </si>
  <si>
    <t>mW*h</t>
  </si>
  <si>
    <t>Capacity</t>
  </si>
  <si>
    <t>mAh</t>
  </si>
  <si>
    <t>Nominal Voltage</t>
  </si>
  <si>
    <t>V</t>
  </si>
  <si>
    <t>Days of Use</t>
  </si>
  <si>
    <t>days</t>
  </si>
  <si>
    <t>Regulator Efficiency</t>
  </si>
  <si>
    <t>*No Voltage regulator used in sensor schematic</t>
  </si>
  <si>
    <t>Hours of Use</t>
  </si>
  <si>
    <t xml:space="preserve">REFLECTIONS : WHAT DID YOU LEARN FROM ANALYZING YOUR POWER.  TALK ABOUT SOME POTENTIAL TRADEOFFS. </t>
  </si>
  <si>
    <t>From analyzing the power consumption of my design, I learned that switching from WiFi to BLE significantly reduces power consumption (TX power dropped from 247mW to 66mW). 
My product is designed to be placed in the refrigerator along with groceries. Since the refrigerator environment is relatively stable and items are rarely moved, frequent updates are unnecessary. 
I implemented a dual-mode strategy:
- High-Frequency Mode (first day only): Updates every 15 minutes to collect sufficient calibration data for the new environment
- Low-Frequency Mode (normal operation): Updates every 2-4 hours to conserve energy while maintaining adequate monitoring
The "hours per day" values in the spreadsheet represent averaged usage across the device's lifetime, accounting for the initial high-frequency calibration period.
With the LIR2032 (40mAh) battery, the estimated battery life is approximately 8.5 days. To extend this further, potential tradeoffs include:
- Using a larger battery (e.g., CR2477 with 1000mAh) for longer life but increased size
- Reducing BLE transmission frequency or data payload size
- Implementing smarter wake-up triggers based on environmental changes rather than fixed intervals</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</si>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</sst>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color theme="1"/>
      <name val="Arial"/>
      <scheme val="minor"/>
    </font>
    <font>
      <b/>
      <color theme="1"/>
      <name val="Arial"/>
      <scheme val="minor"/>
    </font>
    <font>
      <sz val="11.0"/>
      <color theme="1"/>
      <name val="Arial"/>
      <scheme val="minor"/>
    </font>
    <font>
      <u/>
      <color rgb="FF0000FF"/>
    </font>
    <font>
      <u/>
      <color rgb="FF0000FF"/>
    </font>
    <font>
      <u/>
      <color rgb="FF0000FF"/>
    </font>
    <font>
      <u/>
      <color rgb="FF0000FF"/>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readingOrder="0"/>
    </xf>
    <xf borderId="0" fillId="0" fontId="2" numFmtId="0" xfId="0" applyAlignment="1" applyFont="1">
      <alignment readingOrder="0"/>
    </xf>
    <xf borderId="5" fillId="0" fontId="1" numFmtId="0" xfId="0" applyBorder="1" applyFont="1"/>
    <xf borderId="4" fillId="0" fontId="1" numFmtId="0" xfId="0" applyBorder="1" applyFont="1"/>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4" fillId="0" fontId="1" numFmtId="0" xfId="0" applyAlignment="1" applyBorder="1" applyFont="1">
      <alignment readingOrder="0"/>
    </xf>
    <xf borderId="0" fillId="2" fontId="3" numFmtId="1" xfId="0" applyAlignment="1" applyFill="1" applyFont="1" applyNumberFormat="1">
      <alignment readingOrder="0"/>
    </xf>
    <xf borderId="0" fillId="2" fontId="1" numFmtId="9" xfId="0" applyAlignment="1" applyFont="1" applyNumberFormat="1">
      <alignment readingOrder="0"/>
    </xf>
    <xf borderId="0" fillId="2" fontId="3" numFmtId="9" xfId="0" applyAlignment="1" applyFont="1" applyNumberFormat="1">
      <alignment readingOrder="0"/>
    </xf>
    <xf borderId="0" fillId="2" fontId="1" numFmtId="1" xfId="0" applyAlignment="1" applyFont="1" applyNumberFormat="1">
      <alignment readingOrder="0"/>
    </xf>
    <xf borderId="0" fillId="3" fontId="1" numFmtId="1" xfId="0" applyAlignment="1" applyFill="1" applyFont="1" applyNumberFormat="1">
      <alignment readingOrder="0"/>
    </xf>
    <xf borderId="0" fillId="3" fontId="1" numFmtId="9" xfId="0" applyAlignment="1" applyFont="1" applyNumberFormat="1">
      <alignment readingOrder="0"/>
    </xf>
    <xf borderId="0" fillId="0" fontId="1" numFmtId="1" xfId="0" applyFont="1" applyNumberFormat="1"/>
    <xf borderId="0" fillId="0" fontId="5" numFmtId="1" xfId="0" applyAlignment="1" applyFont="1" applyNumberFormat="1">
      <alignment readingOrder="0"/>
    </xf>
    <xf borderId="0" fillId="0" fontId="1" numFmtId="1" xfId="0" applyAlignment="1" applyFont="1" applyNumberFormat="1">
      <alignment readingOrder="0"/>
    </xf>
    <xf borderId="0" fillId="0" fontId="1" numFmtId="9" xfId="0" applyAlignment="1" applyFont="1" applyNumberFormat="1">
      <alignment readingOrder="0"/>
    </xf>
    <xf borderId="0" fillId="2" fontId="1" numFmtId="0" xfId="0" applyAlignment="1" applyFont="1">
      <alignment readingOrder="0"/>
    </xf>
    <xf borderId="0" fillId="4" fontId="1" numFmtId="0" xfId="0" applyAlignment="1" applyFill="1" applyFont="1">
      <alignment readingOrder="0"/>
    </xf>
    <xf borderId="0" fillId="4" fontId="1" numFmtId="0" xfId="0" applyFont="1"/>
    <xf borderId="0" fillId="4" fontId="1" numFmtId="164" xfId="0" applyFont="1" applyNumberFormat="1"/>
    <xf borderId="0" fillId="0" fontId="1" numFmtId="0" xfId="0" applyFont="1"/>
    <xf borderId="0" fillId="5" fontId="2" numFmtId="0" xfId="0" applyAlignment="1" applyFill="1" applyFont="1">
      <alignment readingOrder="0"/>
    </xf>
    <xf borderId="0" fillId="5"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6" numFmtId="0" xfId="0" applyFont="1"/>
    <xf borderId="0" fillId="0" fontId="1" numFmtId="9" xfId="0" applyFont="1" applyNumberFormat="1"/>
    <xf borderId="0" fillId="0" fontId="7" numFmtId="1"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745645479"/>
        <c:axId val="1265852696"/>
      </c:barChart>
      <c:catAx>
        <c:axId val="7456454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65852696"/>
      </c:catAx>
      <c:valAx>
        <c:axId val="1265852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564547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538038700"/>
        <c:axId val="907413627"/>
      </c:barChart>
      <c:catAx>
        <c:axId val="1538038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7413627"/>
      </c:catAx>
      <c:valAx>
        <c:axId val="907413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80387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3723525" y="2928400"/>
          <a:ext cx="3064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a:t>
          </a:r>
          <a:r>
            <a:rPr lang="en-US" sz="1400"/>
            <a:t>f component changes by 10%...</a:t>
          </a:r>
          <a:endParaRPr sz="1400"/>
        </a:p>
        <a:p>
          <a:pPr indent="0" lvl="0" marL="0" rtl="0" algn="l">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355075" y="2317525"/>
          <a:ext cx="3355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If component changes by 10%</a:t>
          </a:r>
          <a:endParaRPr sz="1400"/>
        </a:p>
        <a:p>
          <a:pPr indent="0" lvl="0" marL="0" rtl="0" algn="l">
            <a:spcBef>
              <a:spcPts val="0"/>
            </a:spcBef>
            <a:spcAft>
              <a:spcPts val="0"/>
            </a:spcAft>
            <a:buNone/>
          </a:pPr>
          <a:r>
            <a:rPr lang="en-US" sz="1400"/>
            <a:t>… “hours” of use changes by x%</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spressif.com/sites/default/files/documentation/esp32-c3_datasheet_en.pdf" TargetMode="External"/><Relationship Id="rId2" Type="http://schemas.openxmlformats.org/officeDocument/2006/relationships/hyperlink" Target="https://cdn-shop.adafruit.com/datasheets/1899_HTU21D.pd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12.75"/>
  </cols>
  <sheetData>
    <row r="2">
      <c r="A2" s="1"/>
      <c r="B2" s="2"/>
      <c r="C2" s="2"/>
      <c r="D2" s="2"/>
      <c r="E2" s="2"/>
      <c r="F2" s="2"/>
      <c r="G2" s="2"/>
      <c r="H2" s="2"/>
      <c r="I2" s="3"/>
    </row>
    <row r="3">
      <c r="A3" s="4" t="s">
        <v>0</v>
      </c>
      <c r="E3" s="5" t="s">
        <v>1</v>
      </c>
      <c r="I3" s="6"/>
    </row>
    <row r="4">
      <c r="A4" s="7"/>
      <c r="B4" s="8" t="s">
        <v>2</v>
      </c>
      <c r="F4" s="9" t="s">
        <v>3</v>
      </c>
      <c r="G4" s="9" t="s">
        <v>4</v>
      </c>
      <c r="I4" s="6"/>
    </row>
    <row r="5">
      <c r="A5" s="7"/>
      <c r="E5" s="9" t="s">
        <v>5</v>
      </c>
      <c r="F5" s="9" t="s">
        <v>6</v>
      </c>
      <c r="G5" s="9" t="s">
        <v>7</v>
      </c>
      <c r="I5" s="6"/>
    </row>
    <row r="6">
      <c r="A6" s="4" t="s">
        <v>8</v>
      </c>
      <c r="C6" s="10" t="s">
        <v>9</v>
      </c>
      <c r="I6" s="6"/>
    </row>
    <row r="7">
      <c r="A7" s="11" t="s">
        <v>10</v>
      </c>
      <c r="B7" s="12">
        <v>247.5</v>
      </c>
      <c r="C7" s="9" t="s">
        <v>11</v>
      </c>
      <c r="E7" s="13">
        <v>0.0</v>
      </c>
      <c r="F7" s="14">
        <v>0.15</v>
      </c>
      <c r="G7" s="13">
        <v>0.15</v>
      </c>
      <c r="I7" s="6"/>
    </row>
    <row r="8">
      <c r="A8" s="11" t="s">
        <v>12</v>
      </c>
      <c r="B8" s="15">
        <v>82.5</v>
      </c>
      <c r="C8" s="9" t="s">
        <v>11</v>
      </c>
      <c r="E8" s="13">
        <v>0.0</v>
      </c>
      <c r="F8" s="14">
        <v>0.85</v>
      </c>
      <c r="G8" s="13">
        <v>0.85</v>
      </c>
      <c r="I8" s="6"/>
    </row>
    <row r="9">
      <c r="A9" s="11" t="s">
        <v>13</v>
      </c>
      <c r="B9" s="15">
        <v>0.145</v>
      </c>
      <c r="C9" s="9" t="s">
        <v>11</v>
      </c>
      <c r="E9" s="13">
        <v>1.0</v>
      </c>
      <c r="F9" s="13">
        <v>0.0</v>
      </c>
      <c r="G9" s="13">
        <v>0.0</v>
      </c>
      <c r="I9" s="6"/>
    </row>
    <row r="10">
      <c r="A10" s="7"/>
      <c r="I10" s="6"/>
    </row>
    <row r="11">
      <c r="A11" s="4"/>
      <c r="I11" s="6"/>
    </row>
    <row r="12">
      <c r="A12" s="11"/>
      <c r="B12" s="16"/>
      <c r="E12" s="17"/>
      <c r="F12" s="17"/>
      <c r="G12" s="17"/>
      <c r="I12" s="6"/>
    </row>
    <row r="13">
      <c r="A13" s="7"/>
      <c r="B13" s="18"/>
      <c r="I13" s="6"/>
    </row>
    <row r="14">
      <c r="A14" s="7"/>
      <c r="B14" s="18"/>
      <c r="I14" s="6"/>
    </row>
    <row r="15">
      <c r="A15" s="4" t="s">
        <v>14</v>
      </c>
      <c r="B15" s="19" t="s">
        <v>15</v>
      </c>
      <c r="I15" s="6"/>
    </row>
    <row r="16">
      <c r="A16" s="11" t="s">
        <v>16</v>
      </c>
      <c r="B16" s="15">
        <v>1.35</v>
      </c>
      <c r="C16" s="9" t="s">
        <v>11</v>
      </c>
      <c r="E16" s="13">
        <v>0.0</v>
      </c>
      <c r="F16" s="13">
        <v>0.8</v>
      </c>
      <c r="G16" s="13">
        <v>0.8</v>
      </c>
      <c r="I16" s="6"/>
    </row>
    <row r="17">
      <c r="A17" s="11" t="s">
        <v>12</v>
      </c>
      <c r="B17" s="15" t="s">
        <v>17</v>
      </c>
      <c r="C17" s="9" t="s">
        <v>11</v>
      </c>
      <c r="E17" s="13">
        <v>0.0</v>
      </c>
      <c r="F17" s="13">
        <v>0.0</v>
      </c>
      <c r="G17" s="13">
        <v>0.0</v>
      </c>
      <c r="I17" s="6"/>
    </row>
    <row r="18">
      <c r="A18" s="11" t="s">
        <v>18</v>
      </c>
      <c r="B18" s="15">
        <v>0.06</v>
      </c>
      <c r="C18" s="9" t="s">
        <v>11</v>
      </c>
      <c r="E18" s="13">
        <v>1.0</v>
      </c>
      <c r="F18" s="13">
        <v>0.2</v>
      </c>
      <c r="G18" s="13">
        <v>0.2</v>
      </c>
      <c r="I18" s="6"/>
    </row>
    <row r="19">
      <c r="A19" s="7"/>
      <c r="B19" s="18"/>
      <c r="I19" s="6"/>
    </row>
    <row r="20">
      <c r="A20" s="4"/>
      <c r="B20" s="18"/>
      <c r="I20" s="6"/>
    </row>
    <row r="21">
      <c r="A21" s="11"/>
      <c r="B21" s="20"/>
      <c r="E21" s="21"/>
      <c r="F21" s="21"/>
      <c r="G21" s="21"/>
      <c r="I21" s="6"/>
    </row>
    <row r="22">
      <c r="A22" s="11"/>
      <c r="B22" s="20"/>
      <c r="E22" s="21"/>
      <c r="F22" s="21"/>
      <c r="G22" s="21"/>
      <c r="I22" s="6"/>
    </row>
    <row r="23">
      <c r="A23" s="7"/>
      <c r="I23" s="6"/>
    </row>
    <row r="24">
      <c r="A24" s="4" t="s">
        <v>19</v>
      </c>
      <c r="I24" s="6"/>
      <c r="K24" s="1"/>
      <c r="L24" s="2"/>
      <c r="M24" s="2"/>
      <c r="N24" s="2"/>
      <c r="O24" s="2"/>
      <c r="P24" s="2"/>
      <c r="Q24" s="3"/>
    </row>
    <row r="25">
      <c r="A25" s="11" t="s">
        <v>20</v>
      </c>
      <c r="B25" s="22">
        <v>42.6</v>
      </c>
      <c r="C25" s="9" t="s">
        <v>21</v>
      </c>
      <c r="D25" s="9" t="s">
        <v>22</v>
      </c>
      <c r="E25" s="13">
        <v>0.0</v>
      </c>
      <c r="F25" s="13">
        <v>1.0</v>
      </c>
      <c r="G25" s="13">
        <v>1.0</v>
      </c>
      <c r="I25" s="6"/>
      <c r="K25" s="7"/>
      <c r="L25" s="23" t="s">
        <v>23</v>
      </c>
      <c r="M25" s="24"/>
      <c r="N25" s="24"/>
      <c r="O25" s="23" t="s">
        <v>24</v>
      </c>
      <c r="P25" s="24"/>
      <c r="Q25" s="6"/>
    </row>
    <row r="26">
      <c r="A26" s="11" t="s">
        <v>25</v>
      </c>
      <c r="B26" s="15">
        <v>3.0</v>
      </c>
      <c r="C26" s="9" t="s">
        <v>11</v>
      </c>
      <c r="E26" s="13">
        <v>0.0</v>
      </c>
      <c r="F26" s="13">
        <v>0.6</v>
      </c>
      <c r="G26" s="13">
        <v>0.6</v>
      </c>
      <c r="I26" s="6"/>
      <c r="K26" s="7"/>
      <c r="L26" s="24" t="str">
        <f>E5</f>
        <v>"off"</v>
      </c>
      <c r="M26" s="24">
        <f>SUMPRODUCT(B7:B28, E7:E28)</f>
        <v>0.205</v>
      </c>
      <c r="N26" s="23" t="s">
        <v>11</v>
      </c>
      <c r="O26" s="25">
        <f t="shared" ref="O26:O28" si="1">$M$31/M26</f>
        <v>721.9512195</v>
      </c>
      <c r="P26" s="23" t="s">
        <v>26</v>
      </c>
      <c r="Q26" s="6"/>
    </row>
    <row r="27">
      <c r="A27" s="11" t="s">
        <v>27</v>
      </c>
      <c r="B27" s="15">
        <v>66.0</v>
      </c>
      <c r="C27" s="9" t="s">
        <v>11</v>
      </c>
      <c r="E27" s="13">
        <v>0.0</v>
      </c>
      <c r="F27" s="13">
        <v>0.3</v>
      </c>
      <c r="G27" s="13">
        <v>0.3</v>
      </c>
      <c r="I27" s="6"/>
      <c r="K27" s="7"/>
      <c r="L27" s="24" t="str">
        <f>F5</f>
        <v>"High-frequencysensing"</v>
      </c>
      <c r="M27" s="24">
        <f>SUMPRODUCT(B7:B28, F7:F28)</f>
        <v>178.842</v>
      </c>
      <c r="N27" s="23" t="s">
        <v>11</v>
      </c>
      <c r="O27" s="25">
        <f t="shared" si="1"/>
        <v>0.8275461021</v>
      </c>
      <c r="P27" s="23" t="s">
        <v>26</v>
      </c>
      <c r="Q27" s="6"/>
    </row>
    <row r="28">
      <c r="A28" s="11" t="s">
        <v>28</v>
      </c>
      <c r="B28" s="15">
        <v>63.0</v>
      </c>
      <c r="C28" s="9" t="s">
        <v>11</v>
      </c>
      <c r="E28" s="13">
        <v>0.0</v>
      </c>
      <c r="F28" s="13">
        <v>0.1</v>
      </c>
      <c r="G28" s="13">
        <v>0.1</v>
      </c>
      <c r="I28" s="6"/>
      <c r="K28" s="7"/>
      <c r="L28" s="24" t="str">
        <f>G5</f>
        <v>"Low-frequencysensing"</v>
      </c>
      <c r="M28" s="24">
        <f>SUMPRODUCT(B7:B28, G7:G28)</f>
        <v>178.842</v>
      </c>
      <c r="N28" s="23" t="s">
        <v>11</v>
      </c>
      <c r="O28" s="25">
        <f t="shared" si="1"/>
        <v>0.8275461021</v>
      </c>
      <c r="P28" s="23" t="s">
        <v>26</v>
      </c>
      <c r="Q28" s="6"/>
    </row>
    <row r="29">
      <c r="A29" s="7"/>
      <c r="I29" s="6"/>
      <c r="K29" s="7"/>
      <c r="Q29" s="6"/>
    </row>
    <row r="30">
      <c r="A30" s="4"/>
      <c r="E30" s="22">
        <v>23.93</v>
      </c>
      <c r="F30" s="22">
        <v>0.02</v>
      </c>
      <c r="G30" s="22">
        <v>0.05</v>
      </c>
      <c r="H30" s="9" t="s">
        <v>29</v>
      </c>
      <c r="I30" s="6"/>
      <c r="K30" s="7"/>
      <c r="L30" s="9" t="s">
        <v>30</v>
      </c>
      <c r="Q30" s="6"/>
    </row>
    <row r="31">
      <c r="A31" s="4" t="s">
        <v>31</v>
      </c>
      <c r="I31" s="6"/>
      <c r="K31" s="7"/>
      <c r="M31" s="26">
        <f>B32*B33*B34</f>
        <v>148</v>
      </c>
      <c r="N31" s="9" t="s">
        <v>32</v>
      </c>
      <c r="Q31" s="6"/>
    </row>
    <row r="32">
      <c r="A32" s="11" t="s">
        <v>33</v>
      </c>
      <c r="B32" s="15">
        <v>40.0</v>
      </c>
      <c r="C32" s="9" t="s">
        <v>34</v>
      </c>
      <c r="I32" s="6"/>
      <c r="K32" s="7"/>
      <c r="Q32" s="6"/>
    </row>
    <row r="33">
      <c r="A33" s="11" t="s">
        <v>35</v>
      </c>
      <c r="B33" s="15">
        <v>3.7</v>
      </c>
      <c r="C33" s="9" t="s">
        <v>36</v>
      </c>
      <c r="I33" s="6"/>
      <c r="K33" s="7"/>
      <c r="L33" s="27" t="s">
        <v>37</v>
      </c>
      <c r="M33" s="28">
        <f>M31/(E30*M26+F30*M27+G30*M28)</f>
        <v>8.493743612</v>
      </c>
      <c r="N33" s="27" t="s">
        <v>38</v>
      </c>
      <c r="Q33" s="6"/>
    </row>
    <row r="34">
      <c r="A34" s="11" t="s">
        <v>39</v>
      </c>
      <c r="B34" s="13">
        <v>1.0</v>
      </c>
      <c r="C34" s="9" t="s">
        <v>40</v>
      </c>
      <c r="I34" s="6"/>
      <c r="K34" s="7"/>
      <c r="L34" s="27" t="s">
        <v>41</v>
      </c>
      <c r="M34" s="28">
        <f>M33*24</f>
        <v>203.8498467</v>
      </c>
      <c r="N34" s="27" t="s">
        <v>26</v>
      </c>
      <c r="Q34" s="6"/>
    </row>
    <row r="35">
      <c r="A35" s="29"/>
      <c r="B35" s="30"/>
      <c r="C35" s="30"/>
      <c r="D35" s="30"/>
      <c r="E35" s="30"/>
      <c r="F35" s="30"/>
      <c r="G35" s="30"/>
      <c r="H35" s="30"/>
      <c r="I35" s="31"/>
      <c r="K35" s="29"/>
      <c r="L35" s="30"/>
      <c r="M35" s="30"/>
      <c r="N35" s="30"/>
      <c r="O35" s="30"/>
      <c r="P35" s="30"/>
      <c r="Q35" s="31"/>
    </row>
    <row r="38">
      <c r="A38" s="5" t="s">
        <v>42</v>
      </c>
    </row>
    <row r="39">
      <c r="A39" s="9" t="s">
        <v>43</v>
      </c>
    </row>
  </sheetData>
  <hyperlinks>
    <hyperlink r:id="rId1" ref="C6"/>
    <hyperlink r:id="rId2" ref="B1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0">
      <c r="A50" s="9" t="s">
        <v>44</v>
      </c>
    </row>
    <row r="52">
      <c r="A52" s="26" t="str">
        <f>'System Parameters'!A3</f>
        <v>System Parameters (defined by hardware)</v>
      </c>
      <c r="B52" s="26" t="str">
        <f>'System Parameters'!B3</f>
        <v/>
      </c>
      <c r="C52" s="26" t="str">
        <f>'System Parameters'!C3</f>
        <v/>
      </c>
      <c r="D52" s="26" t="str">
        <f>'System Parameters'!D3</f>
        <v/>
      </c>
      <c r="T52" s="26" t="str">
        <f>'System Parameters'!E3</f>
        <v>Profiles (usage of each component mode - defined by software and usage)</v>
      </c>
      <c r="U52" s="26" t="str">
        <f>'System Parameters'!F3</f>
        <v/>
      </c>
      <c r="V52" s="26" t="str">
        <f>'System Parameters'!G3</f>
        <v/>
      </c>
      <c r="W52" s="26" t="str">
        <f>'System Parameters'!H3</f>
        <v/>
      </c>
    </row>
    <row r="53">
      <c r="A53" s="26" t="str">
        <f>'System Parameters'!A4</f>
        <v/>
      </c>
      <c r="B53" s="26" t="str">
        <f>'System Parameters'!B4</f>
        <v>form the datasheets</v>
      </c>
      <c r="C53" s="26" t="str">
        <f>'System Parameters'!C4</f>
        <v/>
      </c>
      <c r="D53" s="26" t="str">
        <f>'System Parameters'!D4</f>
        <v/>
      </c>
      <c r="T53" s="26" t="str">
        <f>'System Parameters'!E4</f>
        <v/>
      </c>
      <c r="U53" s="26" t="str">
        <f>'System Parameters'!F4</f>
        <v>High-Frequency Mode: The sensor operates at frequent intervals (e.g., every 15 minutes) to track potential movement or environmental changes shortly after being placed in the refrigerator.</v>
      </c>
      <c r="V53" s="26" t="str">
        <f>'System Parameters'!G4</f>
        <v>Low-Frequency Mode: The sensor reduces its activity, performing periodic measurements (e.g., every 4 hours) to conserve energy while monitoring stable conditions.</v>
      </c>
      <c r="W53" s="26" t="str">
        <f>'System Parameters'!H4</f>
        <v/>
      </c>
    </row>
    <row r="54">
      <c r="A54" s="26" t="str">
        <f>'System Parameters'!A5</f>
        <v/>
      </c>
      <c r="B54" s="26" t="str">
        <f>'System Parameters'!B5</f>
        <v/>
      </c>
      <c r="C54" s="26" t="str">
        <f>'System Parameters'!C5</f>
        <v/>
      </c>
      <c r="D54" s="26" t="str">
        <f>'System Parameters'!D5</f>
        <v/>
      </c>
      <c r="T54" s="26" t="str">
        <f>'System Parameters'!E5</f>
        <v>"off"</v>
      </c>
      <c r="U54" s="26" t="str">
        <f>'System Parameters'!F5</f>
        <v>"High-frequencysensing"</v>
      </c>
      <c r="V54" s="26" t="str">
        <f>'System Parameters'!G5</f>
        <v>"Low-frequencysensing"</v>
      </c>
      <c r="W54" s="26" t="str">
        <f>'System Parameters'!H5</f>
        <v/>
      </c>
    </row>
    <row r="55">
      <c r="A55" s="26" t="str">
        <f>'System Parameters'!A6</f>
        <v>Processor: XIAO ESP32C3</v>
      </c>
      <c r="B55" s="26" t="str">
        <f>'System Parameters'!B6</f>
        <v/>
      </c>
      <c r="C55" s="32" t="str">
        <f>'System Parameters'!C6</f>
        <v>        https://www.espressif.com/sites/default/files/documentation/esp32-c3_datasheet_en.pdf</v>
      </c>
      <c r="D55" s="26" t="str">
        <f>'System Parameters'!D6</f>
        <v/>
      </c>
      <c r="T55" s="26" t="str">
        <f>'System Parameters'!E6</f>
        <v/>
      </c>
      <c r="U55" s="26" t="str">
        <f>'System Parameters'!F6</f>
        <v/>
      </c>
      <c r="V55" s="26" t="str">
        <f>'System Parameters'!G6</f>
        <v/>
      </c>
      <c r="W55" s="26" t="str">
        <f>'System Parameters'!H6</f>
        <v/>
      </c>
    </row>
    <row r="56">
      <c r="A56" s="26" t="str">
        <f>'System Parameters'!A7</f>
        <v>Active</v>
      </c>
      <c r="B56" s="18">
        <f>'System Parameters'!B7</f>
        <v>247.5</v>
      </c>
      <c r="C56" s="26" t="str">
        <f>'System Parameters'!C7</f>
        <v>mW</v>
      </c>
      <c r="D56" s="26">
        <f>$B56*0.9</f>
        <v>222.75</v>
      </c>
      <c r="E56" s="18">
        <f t="shared" ref="E56:O56" si="1">$B56</f>
        <v>247.5</v>
      </c>
      <c r="F56" s="18">
        <f t="shared" si="1"/>
        <v>247.5</v>
      </c>
      <c r="G56" s="18">
        <f t="shared" si="1"/>
        <v>247.5</v>
      </c>
      <c r="H56" s="18">
        <f t="shared" si="1"/>
        <v>247.5</v>
      </c>
      <c r="I56" s="18">
        <f t="shared" si="1"/>
        <v>247.5</v>
      </c>
      <c r="J56" s="18">
        <f t="shared" si="1"/>
        <v>247.5</v>
      </c>
      <c r="K56" s="18">
        <f t="shared" si="1"/>
        <v>247.5</v>
      </c>
      <c r="L56" s="18">
        <f t="shared" si="1"/>
        <v>247.5</v>
      </c>
      <c r="M56" s="18">
        <f t="shared" si="1"/>
        <v>247.5</v>
      </c>
      <c r="N56" s="18">
        <f t="shared" si="1"/>
        <v>247.5</v>
      </c>
      <c r="O56" s="18">
        <f t="shared" si="1"/>
        <v>247.5</v>
      </c>
      <c r="T56" s="33">
        <f>'System Parameters'!E7</f>
        <v>0</v>
      </c>
      <c r="U56" s="33">
        <f>'System Parameters'!F7</f>
        <v>0.15</v>
      </c>
      <c r="V56" s="33">
        <f>'System Parameters'!G7</f>
        <v>0.15</v>
      </c>
      <c r="W56" s="26" t="str">
        <f>'System Parameters'!H7</f>
        <v/>
      </c>
    </row>
    <row r="57">
      <c r="A57" s="26" t="str">
        <f>'System Parameters'!A8</f>
        <v>Idle</v>
      </c>
      <c r="B57" s="18">
        <f>'System Parameters'!B8</f>
        <v>82.5</v>
      </c>
      <c r="C57" s="26" t="str">
        <f>'System Parameters'!C8</f>
        <v>mW</v>
      </c>
      <c r="D57" s="18">
        <f t="shared" ref="D57:D76" si="3">$B57</f>
        <v>82.5</v>
      </c>
      <c r="E57" s="26">
        <f>$B57*0.9</f>
        <v>74.25</v>
      </c>
      <c r="F57" s="18">
        <f t="shared" ref="F57:O57" si="2">$B57</f>
        <v>82.5</v>
      </c>
      <c r="G57" s="18">
        <f t="shared" si="2"/>
        <v>82.5</v>
      </c>
      <c r="H57" s="18">
        <f t="shared" si="2"/>
        <v>82.5</v>
      </c>
      <c r="I57" s="18">
        <f t="shared" si="2"/>
        <v>82.5</v>
      </c>
      <c r="J57" s="18">
        <f t="shared" si="2"/>
        <v>82.5</v>
      </c>
      <c r="K57" s="18">
        <f t="shared" si="2"/>
        <v>82.5</v>
      </c>
      <c r="L57" s="18">
        <f t="shared" si="2"/>
        <v>82.5</v>
      </c>
      <c r="M57" s="18">
        <f t="shared" si="2"/>
        <v>82.5</v>
      </c>
      <c r="N57" s="18">
        <f t="shared" si="2"/>
        <v>82.5</v>
      </c>
      <c r="O57" s="18">
        <f t="shared" si="2"/>
        <v>82.5</v>
      </c>
      <c r="T57" s="33">
        <f>'System Parameters'!E8</f>
        <v>0</v>
      </c>
      <c r="U57" s="33">
        <f>'System Parameters'!F8</f>
        <v>0.85</v>
      </c>
      <c r="V57" s="33">
        <f>'System Parameters'!G8</f>
        <v>0.85</v>
      </c>
      <c r="W57" s="26" t="str">
        <f>'System Parameters'!H8</f>
        <v/>
      </c>
    </row>
    <row r="58">
      <c r="A58" s="26" t="str">
        <f>'System Parameters'!A9</f>
        <v>Sleep</v>
      </c>
      <c r="B58" s="18">
        <f>'System Parameters'!B9</f>
        <v>0.145</v>
      </c>
      <c r="C58" s="26" t="str">
        <f>'System Parameters'!C9</f>
        <v>mW</v>
      </c>
      <c r="D58" s="18">
        <f t="shared" si="3"/>
        <v>0.145</v>
      </c>
      <c r="E58" s="18">
        <f t="shared" ref="E58:E76" si="5">$B58</f>
        <v>0.145</v>
      </c>
      <c r="F58" s="26">
        <f>$B58*0.9</f>
        <v>0.1305</v>
      </c>
      <c r="G58" s="18">
        <f t="shared" ref="G58:O58" si="4">$B58</f>
        <v>0.145</v>
      </c>
      <c r="H58" s="18">
        <f t="shared" si="4"/>
        <v>0.145</v>
      </c>
      <c r="I58" s="18">
        <f t="shared" si="4"/>
        <v>0.145</v>
      </c>
      <c r="J58" s="18">
        <f t="shared" si="4"/>
        <v>0.145</v>
      </c>
      <c r="K58" s="18">
        <f t="shared" si="4"/>
        <v>0.145</v>
      </c>
      <c r="L58" s="18">
        <f t="shared" si="4"/>
        <v>0.145</v>
      </c>
      <c r="M58" s="18">
        <f t="shared" si="4"/>
        <v>0.145</v>
      </c>
      <c r="N58" s="18">
        <f t="shared" si="4"/>
        <v>0.145</v>
      </c>
      <c r="O58" s="18">
        <f t="shared" si="4"/>
        <v>0.145</v>
      </c>
      <c r="T58" s="33">
        <f>'System Parameters'!E9</f>
        <v>1</v>
      </c>
      <c r="U58" s="33">
        <f>'System Parameters'!F9</f>
        <v>0</v>
      </c>
      <c r="V58" s="33">
        <f>'System Parameters'!G9</f>
        <v>0</v>
      </c>
      <c r="W58" s="26" t="str">
        <f>'System Parameters'!H9</f>
        <v/>
      </c>
    </row>
    <row r="59">
      <c r="A59" s="26" t="str">
        <f>'System Parameters'!A10</f>
        <v/>
      </c>
      <c r="B59" s="26" t="str">
        <f>'System Parameters'!B10</f>
        <v/>
      </c>
      <c r="C59" s="26" t="str">
        <f>'System Parameters'!C10</f>
        <v/>
      </c>
      <c r="D59" s="26" t="str">
        <f t="shared" si="3"/>
        <v/>
      </c>
      <c r="E59" s="26" t="str">
        <f t="shared" si="5"/>
        <v/>
      </c>
      <c r="F59" s="26" t="str">
        <f t="shared" ref="F59:O59" si="6">$B59</f>
        <v/>
      </c>
      <c r="G59" s="26" t="str">
        <f t="shared" si="6"/>
        <v/>
      </c>
      <c r="H59" s="26" t="str">
        <f t="shared" si="6"/>
        <v/>
      </c>
      <c r="I59" s="26" t="str">
        <f t="shared" si="6"/>
        <v/>
      </c>
      <c r="J59" s="26" t="str">
        <f t="shared" si="6"/>
        <v/>
      </c>
      <c r="K59" s="26" t="str">
        <f t="shared" si="6"/>
        <v/>
      </c>
      <c r="L59" s="26" t="str">
        <f t="shared" si="6"/>
        <v/>
      </c>
      <c r="M59" s="26" t="str">
        <f t="shared" si="6"/>
        <v/>
      </c>
      <c r="N59" s="26" t="str">
        <f t="shared" si="6"/>
        <v/>
      </c>
      <c r="O59" s="26" t="str">
        <f t="shared" si="6"/>
        <v/>
      </c>
      <c r="T59" s="26" t="str">
        <f>'System Parameters'!E10</f>
        <v/>
      </c>
      <c r="U59" s="26" t="str">
        <f>'System Parameters'!F10</f>
        <v/>
      </c>
      <c r="V59" s="26" t="str">
        <f>'System Parameters'!G10</f>
        <v/>
      </c>
      <c r="W59" s="26" t="str">
        <f>'System Parameters'!H10</f>
        <v/>
      </c>
    </row>
    <row r="60">
      <c r="A60" s="26" t="str">
        <f>'System Parameters'!A11</f>
        <v/>
      </c>
      <c r="B60" s="26" t="str">
        <f>'System Parameters'!B11</f>
        <v/>
      </c>
      <c r="C60" s="26" t="str">
        <f>'System Parameters'!C11</f>
        <v/>
      </c>
      <c r="D60" s="26" t="str">
        <f t="shared" si="3"/>
        <v/>
      </c>
      <c r="E60" s="26" t="str">
        <f t="shared" si="5"/>
        <v/>
      </c>
      <c r="F60" s="26" t="str">
        <f t="shared" ref="F60:O60" si="7">$B60</f>
        <v/>
      </c>
      <c r="G60" s="26" t="str">
        <f t="shared" si="7"/>
        <v/>
      </c>
      <c r="H60" s="26" t="str">
        <f t="shared" si="7"/>
        <v/>
      </c>
      <c r="I60" s="26" t="str">
        <f t="shared" si="7"/>
        <v/>
      </c>
      <c r="J60" s="26" t="str">
        <f t="shared" si="7"/>
        <v/>
      </c>
      <c r="K60" s="26" t="str">
        <f t="shared" si="7"/>
        <v/>
      </c>
      <c r="L60" s="26" t="str">
        <f t="shared" si="7"/>
        <v/>
      </c>
      <c r="M60" s="26" t="str">
        <f t="shared" si="7"/>
        <v/>
      </c>
      <c r="N60" s="26" t="str">
        <f t="shared" si="7"/>
        <v/>
      </c>
      <c r="O60" s="26" t="str">
        <f t="shared" si="7"/>
        <v/>
      </c>
      <c r="T60" s="26" t="str">
        <f>'System Parameters'!E11</f>
        <v/>
      </c>
      <c r="U60" s="26" t="str">
        <f>'System Parameters'!F11</f>
        <v/>
      </c>
      <c r="V60" s="26" t="str">
        <f>'System Parameters'!G11</f>
        <v/>
      </c>
      <c r="W60" s="26" t="str">
        <f>'System Parameters'!H11</f>
        <v/>
      </c>
    </row>
    <row r="61">
      <c r="A61" s="26" t="str">
        <f>'System Parameters'!A12</f>
        <v/>
      </c>
      <c r="B61" s="18" t="str">
        <f>'System Parameters'!B12</f>
        <v/>
      </c>
      <c r="C61" s="26" t="str">
        <f>'System Parameters'!C12</f>
        <v/>
      </c>
      <c r="D61" s="18" t="str">
        <f t="shared" si="3"/>
        <v/>
      </c>
      <c r="E61" s="18" t="str">
        <f t="shared" si="5"/>
        <v/>
      </c>
      <c r="F61" s="18" t="str">
        <f t="shared" ref="F61:F76" si="9">$B61</f>
        <v/>
      </c>
      <c r="G61" s="26">
        <f>$B61*0.9</f>
        <v>0</v>
      </c>
      <c r="H61" s="18" t="str">
        <f t="shared" ref="H61:O61" si="8">$B61</f>
        <v/>
      </c>
      <c r="I61" s="18" t="str">
        <f t="shared" si="8"/>
        <v/>
      </c>
      <c r="J61" s="18" t="str">
        <f t="shared" si="8"/>
        <v/>
      </c>
      <c r="K61" s="18" t="str">
        <f t="shared" si="8"/>
        <v/>
      </c>
      <c r="L61" s="18" t="str">
        <f t="shared" si="8"/>
        <v/>
      </c>
      <c r="M61" s="18" t="str">
        <f t="shared" si="8"/>
        <v/>
      </c>
      <c r="N61" s="18" t="str">
        <f t="shared" si="8"/>
        <v/>
      </c>
      <c r="O61" s="18" t="str">
        <f t="shared" si="8"/>
        <v/>
      </c>
      <c r="T61" s="33" t="str">
        <f>'System Parameters'!E12</f>
        <v/>
      </c>
      <c r="U61" s="33" t="str">
        <f>'System Parameters'!F12</f>
        <v/>
      </c>
      <c r="V61" s="33" t="str">
        <f>'System Parameters'!G12</f>
        <v/>
      </c>
      <c r="W61" s="26" t="str">
        <f>'System Parameters'!H12</f>
        <v/>
      </c>
    </row>
    <row r="62">
      <c r="A62" s="26" t="str">
        <f>'System Parameters'!A13</f>
        <v/>
      </c>
      <c r="B62" s="18" t="str">
        <f>'System Parameters'!B13</f>
        <v/>
      </c>
      <c r="C62" s="26" t="str">
        <f>'System Parameters'!C13</f>
        <v/>
      </c>
      <c r="D62" s="18" t="str">
        <f t="shared" si="3"/>
        <v/>
      </c>
      <c r="E62" s="18" t="str">
        <f t="shared" si="5"/>
        <v/>
      </c>
      <c r="F62" s="18" t="str">
        <f t="shared" si="9"/>
        <v/>
      </c>
      <c r="G62" s="18" t="str">
        <f t="shared" ref="G62:O62" si="10">$B62</f>
        <v/>
      </c>
      <c r="H62" s="18" t="str">
        <f t="shared" si="10"/>
        <v/>
      </c>
      <c r="I62" s="18" t="str">
        <f t="shared" si="10"/>
        <v/>
      </c>
      <c r="J62" s="18" t="str">
        <f t="shared" si="10"/>
        <v/>
      </c>
      <c r="K62" s="18" t="str">
        <f t="shared" si="10"/>
        <v/>
      </c>
      <c r="L62" s="18" t="str">
        <f t="shared" si="10"/>
        <v/>
      </c>
      <c r="M62" s="18" t="str">
        <f t="shared" si="10"/>
        <v/>
      </c>
      <c r="N62" s="18" t="str">
        <f t="shared" si="10"/>
        <v/>
      </c>
      <c r="O62" s="18" t="str">
        <f t="shared" si="10"/>
        <v/>
      </c>
      <c r="T62" s="26" t="str">
        <f>'System Parameters'!E13</f>
        <v/>
      </c>
      <c r="U62" s="26" t="str">
        <f>'System Parameters'!F13</f>
        <v/>
      </c>
      <c r="V62" s="26" t="str">
        <f>'System Parameters'!G13</f>
        <v/>
      </c>
      <c r="W62" s="26" t="str">
        <f>'System Parameters'!H13</f>
        <v/>
      </c>
    </row>
    <row r="63">
      <c r="A63" s="26" t="str">
        <f>'System Parameters'!A14</f>
        <v/>
      </c>
      <c r="B63" s="18" t="str">
        <f>'System Parameters'!B14</f>
        <v/>
      </c>
      <c r="C63" s="26" t="str">
        <f>'System Parameters'!C14</f>
        <v/>
      </c>
      <c r="D63" s="18" t="str">
        <f t="shared" si="3"/>
        <v/>
      </c>
      <c r="E63" s="18" t="str">
        <f t="shared" si="5"/>
        <v/>
      </c>
      <c r="F63" s="18" t="str">
        <f t="shared" si="9"/>
        <v/>
      </c>
      <c r="G63" s="18" t="str">
        <f t="shared" ref="G63:O63" si="11">$B63</f>
        <v/>
      </c>
      <c r="H63" s="18" t="str">
        <f t="shared" si="11"/>
        <v/>
      </c>
      <c r="I63" s="18" t="str">
        <f t="shared" si="11"/>
        <v/>
      </c>
      <c r="J63" s="18" t="str">
        <f t="shared" si="11"/>
        <v/>
      </c>
      <c r="K63" s="18" t="str">
        <f t="shared" si="11"/>
        <v/>
      </c>
      <c r="L63" s="18" t="str">
        <f t="shared" si="11"/>
        <v/>
      </c>
      <c r="M63" s="18" t="str">
        <f t="shared" si="11"/>
        <v/>
      </c>
      <c r="N63" s="18" t="str">
        <f t="shared" si="11"/>
        <v/>
      </c>
      <c r="O63" s="18" t="str">
        <f t="shared" si="11"/>
        <v/>
      </c>
      <c r="T63" s="26" t="str">
        <f>'System Parameters'!E14</f>
        <v/>
      </c>
      <c r="U63" s="26" t="str">
        <f>'System Parameters'!F14</f>
        <v/>
      </c>
      <c r="V63" s="26" t="str">
        <f>'System Parameters'!G14</f>
        <v/>
      </c>
      <c r="W63" s="26" t="str">
        <f>'System Parameters'!H14</f>
        <v/>
      </c>
    </row>
    <row r="64">
      <c r="A64" s="26" t="str">
        <f>'System Parameters'!A15</f>
        <v>Sensor: HTU21D</v>
      </c>
      <c r="B64" s="34" t="str">
        <f>'System Parameters'!B15</f>
        <v>https://cdn-shop.adafruit.com/datasheets/1899_HTU21D.pdf</v>
      </c>
      <c r="C64" s="26" t="str">
        <f>'System Parameters'!C15</f>
        <v/>
      </c>
      <c r="D64" s="34" t="str">
        <f t="shared" si="3"/>
        <v>https://cdn-shop.adafruit.com/datasheets/1899_HTU21D.pdf</v>
      </c>
      <c r="E64" s="34" t="str">
        <f t="shared" si="5"/>
        <v>https://cdn-shop.adafruit.com/datasheets/1899_HTU21D.pdf</v>
      </c>
      <c r="F64" s="34" t="str">
        <f t="shared" si="9"/>
        <v>https://cdn-shop.adafruit.com/datasheets/1899_HTU21D.pdf</v>
      </c>
      <c r="G64" s="34" t="str">
        <f t="shared" ref="G64:O64" si="12">$B64</f>
        <v>https://cdn-shop.adafruit.com/datasheets/1899_HTU21D.pdf</v>
      </c>
      <c r="H64" s="34" t="str">
        <f t="shared" si="12"/>
        <v>https://cdn-shop.adafruit.com/datasheets/1899_HTU21D.pdf</v>
      </c>
      <c r="I64" s="34" t="str">
        <f t="shared" si="12"/>
        <v>https://cdn-shop.adafruit.com/datasheets/1899_HTU21D.pdf</v>
      </c>
      <c r="J64" s="34" t="str">
        <f t="shared" si="12"/>
        <v>https://cdn-shop.adafruit.com/datasheets/1899_HTU21D.pdf</v>
      </c>
      <c r="K64" s="34" t="str">
        <f t="shared" si="12"/>
        <v>https://cdn-shop.adafruit.com/datasheets/1899_HTU21D.pdf</v>
      </c>
      <c r="L64" s="34" t="str">
        <f t="shared" si="12"/>
        <v>https://cdn-shop.adafruit.com/datasheets/1899_HTU21D.pdf</v>
      </c>
      <c r="M64" s="34" t="str">
        <f t="shared" si="12"/>
        <v>https://cdn-shop.adafruit.com/datasheets/1899_HTU21D.pdf</v>
      </c>
      <c r="N64" s="34" t="str">
        <f t="shared" si="12"/>
        <v>https://cdn-shop.adafruit.com/datasheets/1899_HTU21D.pdf</v>
      </c>
      <c r="O64" s="34" t="str">
        <f t="shared" si="12"/>
        <v>https://cdn-shop.adafruit.com/datasheets/1899_HTU21D.pdf</v>
      </c>
      <c r="T64" s="26" t="str">
        <f>'System Parameters'!E15</f>
        <v/>
      </c>
      <c r="U64" s="26" t="str">
        <f>'System Parameters'!F15</f>
        <v/>
      </c>
      <c r="V64" s="26" t="str">
        <f>'System Parameters'!G15</f>
        <v/>
      </c>
      <c r="W64" s="26" t="str">
        <f>'System Parameters'!H15</f>
        <v/>
      </c>
    </row>
    <row r="65">
      <c r="A65" s="26" t="str">
        <f>'System Parameters'!A16</f>
        <v>On</v>
      </c>
      <c r="B65" s="18">
        <f>'System Parameters'!B16</f>
        <v>1.35</v>
      </c>
      <c r="C65" s="26" t="str">
        <f>'System Parameters'!C16</f>
        <v>mW</v>
      </c>
      <c r="D65" s="18">
        <f t="shared" si="3"/>
        <v>1.35</v>
      </c>
      <c r="E65" s="18">
        <f t="shared" si="5"/>
        <v>1.35</v>
      </c>
      <c r="F65" s="18">
        <f t="shared" si="9"/>
        <v>1.35</v>
      </c>
      <c r="G65" s="18">
        <f t="shared" ref="G65:G76" si="14">$B65</f>
        <v>1.35</v>
      </c>
      <c r="H65" s="26">
        <f>$B65*0.9</f>
        <v>1.215</v>
      </c>
      <c r="I65" s="18">
        <f t="shared" ref="I65:O65" si="13">$B65</f>
        <v>1.35</v>
      </c>
      <c r="J65" s="18">
        <f t="shared" si="13"/>
        <v>1.35</v>
      </c>
      <c r="K65" s="18">
        <f t="shared" si="13"/>
        <v>1.35</v>
      </c>
      <c r="L65" s="18">
        <f t="shared" si="13"/>
        <v>1.35</v>
      </c>
      <c r="M65" s="18">
        <f t="shared" si="13"/>
        <v>1.35</v>
      </c>
      <c r="N65" s="18">
        <f t="shared" si="13"/>
        <v>1.35</v>
      </c>
      <c r="O65" s="18">
        <f t="shared" si="13"/>
        <v>1.35</v>
      </c>
      <c r="T65" s="33">
        <f>'System Parameters'!E16</f>
        <v>0</v>
      </c>
      <c r="U65" s="33">
        <f>'System Parameters'!F16</f>
        <v>0.8</v>
      </c>
      <c r="V65" s="33">
        <f>'System Parameters'!G16</f>
        <v>0.8</v>
      </c>
      <c r="W65" s="26" t="str">
        <f>'System Parameters'!H16</f>
        <v/>
      </c>
    </row>
    <row r="66">
      <c r="A66" s="26" t="str">
        <f>'System Parameters'!A17</f>
        <v>Idle</v>
      </c>
      <c r="B66" s="18" t="str">
        <f>'System Parameters'!B17</f>
        <v>N/A</v>
      </c>
      <c r="C66" s="26" t="str">
        <f>'System Parameters'!C17</f>
        <v>mW</v>
      </c>
      <c r="D66" s="18" t="str">
        <f t="shared" si="3"/>
        <v>N/A</v>
      </c>
      <c r="E66" s="18" t="str">
        <f t="shared" si="5"/>
        <v>N/A</v>
      </c>
      <c r="F66" s="18" t="str">
        <f t="shared" si="9"/>
        <v>N/A</v>
      </c>
      <c r="G66" s="18" t="str">
        <f t="shared" si="14"/>
        <v>N/A</v>
      </c>
      <c r="H66" s="18" t="str">
        <f t="shared" ref="H66:H76" si="16">$B66</f>
        <v>N/A</v>
      </c>
      <c r="I66" s="26" t="str">
        <f>$B66*0.9</f>
        <v>#VALUE!</v>
      </c>
      <c r="J66" s="18" t="str">
        <f t="shared" ref="J66:O66" si="15">$B66</f>
        <v>N/A</v>
      </c>
      <c r="K66" s="18" t="str">
        <f t="shared" si="15"/>
        <v>N/A</v>
      </c>
      <c r="L66" s="18" t="str">
        <f t="shared" si="15"/>
        <v>N/A</v>
      </c>
      <c r="M66" s="18" t="str">
        <f t="shared" si="15"/>
        <v>N/A</v>
      </c>
      <c r="N66" s="18" t="str">
        <f t="shared" si="15"/>
        <v>N/A</v>
      </c>
      <c r="O66" s="18" t="str">
        <f t="shared" si="15"/>
        <v>N/A</v>
      </c>
      <c r="T66" s="33">
        <f>'System Parameters'!E17</f>
        <v>0</v>
      </c>
      <c r="U66" s="33">
        <f>'System Parameters'!F17</f>
        <v>0</v>
      </c>
      <c r="V66" s="33">
        <f>'System Parameters'!G17</f>
        <v>0</v>
      </c>
      <c r="W66" s="26" t="str">
        <f>'System Parameters'!H17</f>
        <v/>
      </c>
    </row>
    <row r="67">
      <c r="A67" s="26" t="str">
        <f>'System Parameters'!A18</f>
        <v>Off</v>
      </c>
      <c r="B67" s="18">
        <f>'System Parameters'!B18</f>
        <v>0.06</v>
      </c>
      <c r="C67" s="26" t="str">
        <f>'System Parameters'!C18</f>
        <v>mW</v>
      </c>
      <c r="D67" s="18">
        <f t="shared" si="3"/>
        <v>0.06</v>
      </c>
      <c r="E67" s="18">
        <f t="shared" si="5"/>
        <v>0.06</v>
      </c>
      <c r="F67" s="18">
        <f t="shared" si="9"/>
        <v>0.06</v>
      </c>
      <c r="G67" s="18">
        <f t="shared" si="14"/>
        <v>0.06</v>
      </c>
      <c r="H67" s="18">
        <f t="shared" si="16"/>
        <v>0.06</v>
      </c>
      <c r="I67" s="18">
        <f t="shared" ref="I67:I76" si="18">$B67</f>
        <v>0.06</v>
      </c>
      <c r="J67" s="26">
        <f>$B67*0.9</f>
        <v>0.054</v>
      </c>
      <c r="K67" s="18">
        <f t="shared" ref="K67:O67" si="17">$B67</f>
        <v>0.06</v>
      </c>
      <c r="L67" s="18">
        <f t="shared" si="17"/>
        <v>0.06</v>
      </c>
      <c r="M67" s="18">
        <f t="shared" si="17"/>
        <v>0.06</v>
      </c>
      <c r="N67" s="18">
        <f t="shared" si="17"/>
        <v>0.06</v>
      </c>
      <c r="O67" s="18">
        <f t="shared" si="17"/>
        <v>0.06</v>
      </c>
      <c r="T67" s="33">
        <f>'System Parameters'!E18</f>
        <v>1</v>
      </c>
      <c r="U67" s="33">
        <f>'System Parameters'!F18</f>
        <v>0.2</v>
      </c>
      <c r="V67" s="33">
        <f>'System Parameters'!G18</f>
        <v>0.2</v>
      </c>
      <c r="W67" s="26" t="str">
        <f>'System Parameters'!H18</f>
        <v/>
      </c>
    </row>
    <row r="68">
      <c r="A68" s="26" t="str">
        <f>'System Parameters'!A19</f>
        <v/>
      </c>
      <c r="B68" s="18" t="str">
        <f>'System Parameters'!B19</f>
        <v/>
      </c>
      <c r="C68" s="26" t="str">
        <f>'System Parameters'!C19</f>
        <v/>
      </c>
      <c r="D68" s="18" t="str">
        <f t="shared" si="3"/>
        <v/>
      </c>
      <c r="E68" s="18" t="str">
        <f t="shared" si="5"/>
        <v/>
      </c>
      <c r="F68" s="18" t="str">
        <f t="shared" si="9"/>
        <v/>
      </c>
      <c r="G68" s="18" t="str">
        <f t="shared" si="14"/>
        <v/>
      </c>
      <c r="H68" s="18" t="str">
        <f t="shared" si="16"/>
        <v/>
      </c>
      <c r="I68" s="18" t="str">
        <f t="shared" si="18"/>
        <v/>
      </c>
      <c r="J68" s="18" t="str">
        <f t="shared" ref="J68:O68" si="19">$B68</f>
        <v/>
      </c>
      <c r="K68" s="18" t="str">
        <f t="shared" si="19"/>
        <v/>
      </c>
      <c r="L68" s="18" t="str">
        <f t="shared" si="19"/>
        <v/>
      </c>
      <c r="M68" s="18" t="str">
        <f t="shared" si="19"/>
        <v/>
      </c>
      <c r="N68" s="18" t="str">
        <f t="shared" si="19"/>
        <v/>
      </c>
      <c r="O68" s="18" t="str">
        <f t="shared" si="19"/>
        <v/>
      </c>
      <c r="T68" s="26" t="str">
        <f>'System Parameters'!E19</f>
        <v/>
      </c>
      <c r="U68" s="26" t="str">
        <f>'System Parameters'!F19</f>
        <v/>
      </c>
      <c r="V68" s="26" t="str">
        <f>'System Parameters'!G19</f>
        <v/>
      </c>
      <c r="W68" s="26" t="str">
        <f>'System Parameters'!H19</f>
        <v/>
      </c>
    </row>
    <row r="69">
      <c r="A69" s="26" t="str">
        <f>'System Parameters'!A20</f>
        <v/>
      </c>
      <c r="B69" s="18" t="str">
        <f>'System Parameters'!B20</f>
        <v/>
      </c>
      <c r="C69" s="26" t="str">
        <f>'System Parameters'!C20</f>
        <v/>
      </c>
      <c r="D69" s="18" t="str">
        <f t="shared" si="3"/>
        <v/>
      </c>
      <c r="E69" s="18" t="str">
        <f t="shared" si="5"/>
        <v/>
      </c>
      <c r="F69" s="18" t="str">
        <f t="shared" si="9"/>
        <v/>
      </c>
      <c r="G69" s="18" t="str">
        <f t="shared" si="14"/>
        <v/>
      </c>
      <c r="H69" s="18" t="str">
        <f t="shared" si="16"/>
        <v/>
      </c>
      <c r="I69" s="18" t="str">
        <f t="shared" si="18"/>
        <v/>
      </c>
      <c r="J69" s="18" t="str">
        <f t="shared" ref="J69:O69" si="20">$B69</f>
        <v/>
      </c>
      <c r="K69" s="18" t="str">
        <f t="shared" si="20"/>
        <v/>
      </c>
      <c r="L69" s="18" t="str">
        <f t="shared" si="20"/>
        <v/>
      </c>
      <c r="M69" s="18" t="str">
        <f t="shared" si="20"/>
        <v/>
      </c>
      <c r="N69" s="18" t="str">
        <f t="shared" si="20"/>
        <v/>
      </c>
      <c r="O69" s="18" t="str">
        <f t="shared" si="20"/>
        <v/>
      </c>
      <c r="T69" s="26" t="str">
        <f>'System Parameters'!E20</f>
        <v/>
      </c>
      <c r="U69" s="26" t="str">
        <f>'System Parameters'!F20</f>
        <v/>
      </c>
      <c r="V69" s="26" t="str">
        <f>'System Parameters'!G20</f>
        <v/>
      </c>
      <c r="W69" s="26" t="str">
        <f>'System Parameters'!H20</f>
        <v/>
      </c>
    </row>
    <row r="70">
      <c r="A70" s="26" t="str">
        <f>'System Parameters'!A21</f>
        <v/>
      </c>
      <c r="B70" s="18" t="str">
        <f>'System Parameters'!B21</f>
        <v/>
      </c>
      <c r="C70" s="26" t="str">
        <f>'System Parameters'!C21</f>
        <v/>
      </c>
      <c r="D70" s="18" t="str">
        <f t="shared" si="3"/>
        <v/>
      </c>
      <c r="E70" s="18" t="str">
        <f t="shared" si="5"/>
        <v/>
      </c>
      <c r="F70" s="18" t="str">
        <f t="shared" si="9"/>
        <v/>
      </c>
      <c r="G70" s="18" t="str">
        <f t="shared" si="14"/>
        <v/>
      </c>
      <c r="H70" s="18" t="str">
        <f t="shared" si="16"/>
        <v/>
      </c>
      <c r="I70" s="18" t="str">
        <f t="shared" si="18"/>
        <v/>
      </c>
      <c r="J70" s="18" t="str">
        <f t="shared" ref="J70:J76" si="22">$B70</f>
        <v/>
      </c>
      <c r="K70" s="26">
        <f>$B70*0.9</f>
        <v>0</v>
      </c>
      <c r="L70" s="18" t="str">
        <f t="shared" ref="L70:O70" si="21">$B70</f>
        <v/>
      </c>
      <c r="M70" s="18" t="str">
        <f t="shared" si="21"/>
        <v/>
      </c>
      <c r="N70" s="18" t="str">
        <f t="shared" si="21"/>
        <v/>
      </c>
      <c r="O70" s="18" t="str">
        <f t="shared" si="21"/>
        <v/>
      </c>
      <c r="T70" s="33" t="str">
        <f>'System Parameters'!E21</f>
        <v/>
      </c>
      <c r="U70" s="33" t="str">
        <f>'System Parameters'!F21</f>
        <v/>
      </c>
      <c r="V70" s="33" t="str">
        <f>'System Parameters'!G21</f>
        <v/>
      </c>
      <c r="W70" s="26" t="str">
        <f>'System Parameters'!H21</f>
        <v/>
      </c>
    </row>
    <row r="71">
      <c r="A71" s="26" t="str">
        <f>'System Parameters'!A22</f>
        <v/>
      </c>
      <c r="B71" s="18" t="str">
        <f>'System Parameters'!B22</f>
        <v/>
      </c>
      <c r="C71" s="26" t="str">
        <f>'System Parameters'!C22</f>
        <v/>
      </c>
      <c r="D71" s="18" t="str">
        <f t="shared" si="3"/>
        <v/>
      </c>
      <c r="E71" s="18" t="str">
        <f t="shared" si="5"/>
        <v/>
      </c>
      <c r="F71" s="18" t="str">
        <f t="shared" si="9"/>
        <v/>
      </c>
      <c r="G71" s="18" t="str">
        <f t="shared" si="14"/>
        <v/>
      </c>
      <c r="H71" s="18" t="str">
        <f t="shared" si="16"/>
        <v/>
      </c>
      <c r="I71" s="18" t="str">
        <f t="shared" si="18"/>
        <v/>
      </c>
      <c r="J71" s="18" t="str">
        <f t="shared" si="22"/>
        <v/>
      </c>
      <c r="K71" s="18" t="str">
        <f t="shared" ref="K71:K76" si="24">$B71</f>
        <v/>
      </c>
      <c r="L71" s="26">
        <f>$B71*0.9</f>
        <v>0</v>
      </c>
      <c r="M71" s="18" t="str">
        <f t="shared" ref="M71:O71" si="23">$B71</f>
        <v/>
      </c>
      <c r="N71" s="18" t="str">
        <f t="shared" si="23"/>
        <v/>
      </c>
      <c r="O71" s="18" t="str">
        <f t="shared" si="23"/>
        <v/>
      </c>
      <c r="T71" s="33" t="str">
        <f>'System Parameters'!E22</f>
        <v/>
      </c>
      <c r="U71" s="33" t="str">
        <f>'System Parameters'!F22</f>
        <v/>
      </c>
      <c r="V71" s="33" t="str">
        <f>'System Parameters'!G22</f>
        <v/>
      </c>
      <c r="W71" s="26" t="str">
        <f>'System Parameters'!H22</f>
        <v/>
      </c>
    </row>
    <row r="72">
      <c r="A72" s="26" t="str">
        <f>'System Parameters'!A23</f>
        <v/>
      </c>
      <c r="B72" s="26" t="str">
        <f>'System Parameters'!B23</f>
        <v/>
      </c>
      <c r="C72" s="26" t="str">
        <f>'System Parameters'!C23</f>
        <v/>
      </c>
      <c r="D72" s="26" t="str">
        <f t="shared" si="3"/>
        <v/>
      </c>
      <c r="E72" s="26" t="str">
        <f t="shared" si="5"/>
        <v/>
      </c>
      <c r="F72" s="26" t="str">
        <f t="shared" si="9"/>
        <v/>
      </c>
      <c r="G72" s="26" t="str">
        <f t="shared" si="14"/>
        <v/>
      </c>
      <c r="H72" s="26" t="str">
        <f t="shared" si="16"/>
        <v/>
      </c>
      <c r="I72" s="26" t="str">
        <f t="shared" si="18"/>
        <v/>
      </c>
      <c r="J72" s="26" t="str">
        <f t="shared" si="22"/>
        <v/>
      </c>
      <c r="K72" s="26" t="str">
        <f t="shared" si="24"/>
        <v/>
      </c>
      <c r="L72" s="26" t="str">
        <f t="shared" ref="L72:O72" si="25">$B72</f>
        <v/>
      </c>
      <c r="M72" s="26" t="str">
        <f t="shared" si="25"/>
        <v/>
      </c>
      <c r="N72" s="26" t="str">
        <f t="shared" si="25"/>
        <v/>
      </c>
      <c r="O72" s="26" t="str">
        <f t="shared" si="25"/>
        <v/>
      </c>
      <c r="T72" s="26" t="str">
        <f>'System Parameters'!E23</f>
        <v/>
      </c>
      <c r="U72" s="26" t="str">
        <f>'System Parameters'!F23</f>
        <v/>
      </c>
      <c r="V72" s="26" t="str">
        <f>'System Parameters'!G23</f>
        <v/>
      </c>
      <c r="W72" s="26" t="str">
        <f>'System Parameters'!H23</f>
        <v/>
      </c>
    </row>
    <row r="73">
      <c r="A73" s="26" t="str">
        <f>'System Parameters'!A24</f>
        <v>Radio: XIAO ESP32C3 BLE</v>
      </c>
      <c r="B73" s="26" t="str">
        <f>'System Parameters'!B24</f>
        <v/>
      </c>
      <c r="C73" s="26" t="str">
        <f>'System Parameters'!C24</f>
        <v/>
      </c>
      <c r="D73" s="26" t="str">
        <f t="shared" si="3"/>
        <v/>
      </c>
      <c r="E73" s="26" t="str">
        <f t="shared" si="5"/>
        <v/>
      </c>
      <c r="F73" s="26" t="str">
        <f t="shared" si="9"/>
        <v/>
      </c>
      <c r="G73" s="26" t="str">
        <f t="shared" si="14"/>
        <v/>
      </c>
      <c r="H73" s="26" t="str">
        <f t="shared" si="16"/>
        <v/>
      </c>
      <c r="I73" s="26" t="str">
        <f t="shared" si="18"/>
        <v/>
      </c>
      <c r="J73" s="26" t="str">
        <f t="shared" si="22"/>
        <v/>
      </c>
      <c r="K73" s="26" t="str">
        <f t="shared" si="24"/>
        <v/>
      </c>
      <c r="L73" s="26" t="str">
        <f t="shared" ref="L73:O73" si="26">$B73</f>
        <v/>
      </c>
      <c r="M73" s="26" t="str">
        <f t="shared" si="26"/>
        <v/>
      </c>
      <c r="N73" s="26" t="str">
        <f t="shared" si="26"/>
        <v/>
      </c>
      <c r="O73" s="26" t="str">
        <f t="shared" si="26"/>
        <v/>
      </c>
      <c r="T73" s="26" t="str">
        <f>'System Parameters'!E24</f>
        <v/>
      </c>
      <c r="U73" s="26" t="str">
        <f>'System Parameters'!F24</f>
        <v/>
      </c>
      <c r="V73" s="26" t="str">
        <f>'System Parameters'!G24</f>
        <v/>
      </c>
      <c r="W73" s="26" t="str">
        <f>'System Parameters'!H24</f>
        <v/>
      </c>
    </row>
    <row r="74">
      <c r="A74" s="26" t="str">
        <f>'System Parameters'!A26</f>
        <v>Standby Power</v>
      </c>
      <c r="B74" s="18">
        <f>'System Parameters'!B26</f>
        <v>3</v>
      </c>
      <c r="C74" s="26" t="str">
        <f>'System Parameters'!C26</f>
        <v>mW</v>
      </c>
      <c r="D74" s="18">
        <f t="shared" si="3"/>
        <v>3</v>
      </c>
      <c r="E74" s="18">
        <f t="shared" si="5"/>
        <v>3</v>
      </c>
      <c r="F74" s="18">
        <f t="shared" si="9"/>
        <v>3</v>
      </c>
      <c r="G74" s="18">
        <f t="shared" si="14"/>
        <v>3</v>
      </c>
      <c r="H74" s="18">
        <f t="shared" si="16"/>
        <v>3</v>
      </c>
      <c r="I74" s="18">
        <f t="shared" si="18"/>
        <v>3</v>
      </c>
      <c r="J74" s="18">
        <f t="shared" si="22"/>
        <v>3</v>
      </c>
      <c r="K74" s="18">
        <f t="shared" si="24"/>
        <v>3</v>
      </c>
      <c r="L74" s="18">
        <f t="shared" ref="L74:L76" si="28">$B74</f>
        <v>3</v>
      </c>
      <c r="M74" s="26">
        <f>$B74*0.9</f>
        <v>2.7</v>
      </c>
      <c r="N74" s="18">
        <f t="shared" ref="N74:O74" si="27">$B74</f>
        <v>3</v>
      </c>
      <c r="O74" s="18">
        <f t="shared" si="27"/>
        <v>3</v>
      </c>
      <c r="T74" s="33">
        <f>'System Parameters'!E26</f>
        <v>0</v>
      </c>
      <c r="U74" s="33">
        <f>'System Parameters'!F26</f>
        <v>0.6</v>
      </c>
      <c r="V74" s="33">
        <f>'System Parameters'!G26</f>
        <v>0.6</v>
      </c>
      <c r="W74" s="26" t="str">
        <f>'System Parameters'!H26</f>
        <v/>
      </c>
    </row>
    <row r="75">
      <c r="A75" s="26" t="str">
        <f>'System Parameters'!A27</f>
        <v>TX Power</v>
      </c>
      <c r="B75" s="18">
        <f>'System Parameters'!B27</f>
        <v>66</v>
      </c>
      <c r="C75" s="26" t="str">
        <f>'System Parameters'!C27</f>
        <v>mW</v>
      </c>
      <c r="D75" s="18">
        <f t="shared" si="3"/>
        <v>66</v>
      </c>
      <c r="E75" s="18">
        <f t="shared" si="5"/>
        <v>66</v>
      </c>
      <c r="F75" s="18">
        <f t="shared" si="9"/>
        <v>66</v>
      </c>
      <c r="G75" s="18">
        <f t="shared" si="14"/>
        <v>66</v>
      </c>
      <c r="H75" s="18">
        <f t="shared" si="16"/>
        <v>66</v>
      </c>
      <c r="I75" s="18">
        <f t="shared" si="18"/>
        <v>66</v>
      </c>
      <c r="J75" s="18">
        <f t="shared" si="22"/>
        <v>66</v>
      </c>
      <c r="K75" s="18">
        <f t="shared" si="24"/>
        <v>66</v>
      </c>
      <c r="L75" s="18">
        <f t="shared" si="28"/>
        <v>66</v>
      </c>
      <c r="M75" s="18">
        <f t="shared" ref="M75:M76" si="29">$B75</f>
        <v>66</v>
      </c>
      <c r="N75" s="26">
        <f>$B75*0.9</f>
        <v>59.4</v>
      </c>
      <c r="O75" s="18">
        <f>$B75</f>
        <v>66</v>
      </c>
      <c r="T75" s="33">
        <f>'System Parameters'!E27</f>
        <v>0</v>
      </c>
      <c r="U75" s="33">
        <f>'System Parameters'!F27</f>
        <v>0.3</v>
      </c>
      <c r="V75" s="33">
        <f>'System Parameters'!G27</f>
        <v>0.3</v>
      </c>
      <c r="W75" s="26" t="str">
        <f>'System Parameters'!H27</f>
        <v/>
      </c>
    </row>
    <row r="76">
      <c r="A76" s="26" t="str">
        <f>'System Parameters'!A28</f>
        <v>RX Power</v>
      </c>
      <c r="B76" s="18">
        <f>'System Parameters'!B28</f>
        <v>63</v>
      </c>
      <c r="C76" s="26" t="str">
        <f>'System Parameters'!C28</f>
        <v>mW</v>
      </c>
      <c r="D76" s="18">
        <f t="shared" si="3"/>
        <v>63</v>
      </c>
      <c r="E76" s="18">
        <f t="shared" si="5"/>
        <v>63</v>
      </c>
      <c r="F76" s="18">
        <f t="shared" si="9"/>
        <v>63</v>
      </c>
      <c r="G76" s="18">
        <f t="shared" si="14"/>
        <v>63</v>
      </c>
      <c r="H76" s="18">
        <f t="shared" si="16"/>
        <v>63</v>
      </c>
      <c r="I76" s="18">
        <f t="shared" si="18"/>
        <v>63</v>
      </c>
      <c r="J76" s="18">
        <f t="shared" si="22"/>
        <v>63</v>
      </c>
      <c r="K76" s="18">
        <f t="shared" si="24"/>
        <v>63</v>
      </c>
      <c r="L76" s="18">
        <f t="shared" si="28"/>
        <v>63</v>
      </c>
      <c r="M76" s="18">
        <f t="shared" si="29"/>
        <v>63</v>
      </c>
      <c r="N76" s="18">
        <f>$B76</f>
        <v>63</v>
      </c>
      <c r="O76" s="26">
        <f>$B76*0.9</f>
        <v>56.7</v>
      </c>
      <c r="T76" s="33">
        <f>'System Parameters'!E28</f>
        <v>0</v>
      </c>
      <c r="U76" s="33">
        <f>'System Parameters'!F28</f>
        <v>0.1</v>
      </c>
      <c r="V76" s="33">
        <f>'System Parameters'!G28</f>
        <v>0.1</v>
      </c>
      <c r="W76" s="26" t="str">
        <f>'System Parameters'!H28</f>
        <v/>
      </c>
    </row>
    <row r="77">
      <c r="A77" s="26" t="str">
        <f>'System Parameters'!A29</f>
        <v/>
      </c>
      <c r="B77" s="26" t="str">
        <f>'System Parameters'!B29</f>
        <v/>
      </c>
      <c r="C77" s="26" t="str">
        <f>'System Parameters'!C29</f>
        <v/>
      </c>
      <c r="D77" s="26" t="str">
        <f>'System Parameters'!D29</f>
        <v/>
      </c>
      <c r="T77" s="26" t="str">
        <f>'System Parameters'!E29</f>
        <v/>
      </c>
      <c r="U77" s="26" t="str">
        <f>'System Parameters'!F29</f>
        <v/>
      </c>
      <c r="V77" s="26" t="str">
        <f>'System Parameters'!G29</f>
        <v/>
      </c>
      <c r="W77" s="26" t="str">
        <f>'System Parameters'!H29</f>
        <v/>
      </c>
    </row>
    <row r="78">
      <c r="A78" s="26" t="str">
        <f>'System Parameters'!A30</f>
        <v/>
      </c>
      <c r="B78" s="26" t="str">
        <f>'System Parameters'!B30</f>
        <v/>
      </c>
      <c r="C78" s="26" t="str">
        <f>'System Parameters'!C30</f>
        <v/>
      </c>
      <c r="D78" s="26" t="str">
        <f>'System Parameters'!D30</f>
        <v/>
      </c>
      <c r="T78" s="26">
        <f>'System Parameters'!E30</f>
        <v>23.93</v>
      </c>
      <c r="U78" s="26">
        <f>'System Parameters'!F30</f>
        <v>0.02</v>
      </c>
      <c r="V78" s="26">
        <f>'System Parameters'!G30</f>
        <v>0.05</v>
      </c>
      <c r="W78" s="26" t="str">
        <f>'System Parameters'!H30</f>
        <v>hour/day typical usage</v>
      </c>
    </row>
    <row r="79">
      <c r="A79" s="26" t="str">
        <f>'System Parameters'!A31</f>
        <v>Battery:LIR2032</v>
      </c>
      <c r="B79" s="26" t="str">
        <f>'System Parameters'!B31</f>
        <v/>
      </c>
      <c r="C79" s="26" t="str">
        <f>'System Parameters'!C31</f>
        <v/>
      </c>
      <c r="D79" s="26" t="str">
        <f>'System Parameters'!D31</f>
        <v/>
      </c>
      <c r="T79" s="26" t="str">
        <f>'System Parameters'!E31</f>
        <v/>
      </c>
      <c r="U79" s="26" t="str">
        <f>'System Parameters'!F31</f>
        <v/>
      </c>
      <c r="V79" s="26" t="str">
        <f>'System Parameters'!G31</f>
        <v/>
      </c>
      <c r="W79" s="26" t="str">
        <f>'System Parameters'!H31</f>
        <v/>
      </c>
    </row>
    <row r="80">
      <c r="A80" s="26" t="str">
        <f>'System Parameters'!A32</f>
        <v>Capacity</v>
      </c>
      <c r="B80" s="18">
        <f>'System Parameters'!B32</f>
        <v>40</v>
      </c>
      <c r="C80" s="26" t="str">
        <f>'System Parameters'!C32</f>
        <v>mAh</v>
      </c>
      <c r="D80" s="26" t="str">
        <f>'System Parameters'!D32</f>
        <v/>
      </c>
      <c r="T80" s="26" t="str">
        <f>'System Parameters'!E32</f>
        <v/>
      </c>
      <c r="U80" s="26" t="str">
        <f>'System Parameters'!F32</f>
        <v/>
      </c>
      <c r="V80" s="26" t="str">
        <f>'System Parameters'!G32</f>
        <v/>
      </c>
      <c r="W80" s="26" t="str">
        <f>'System Parameters'!H32</f>
        <v/>
      </c>
    </row>
    <row r="81">
      <c r="A81" s="26" t="str">
        <f>'System Parameters'!A33</f>
        <v>Nominal Voltage</v>
      </c>
      <c r="B81" s="18">
        <f>'System Parameters'!B33</f>
        <v>3.7</v>
      </c>
      <c r="C81" s="26" t="str">
        <f>'System Parameters'!C33</f>
        <v>V</v>
      </c>
      <c r="D81" s="26" t="str">
        <f>'System Parameters'!D33</f>
        <v/>
      </c>
      <c r="T81" s="26" t="str">
        <f>'System Parameters'!E33</f>
        <v/>
      </c>
      <c r="U81" s="26" t="str">
        <f>'System Parameters'!F33</f>
        <v/>
      </c>
      <c r="V81" s="26" t="str">
        <f>'System Parameters'!G33</f>
        <v/>
      </c>
      <c r="W81" s="26" t="str">
        <f>'System Parameters'!H33</f>
        <v/>
      </c>
    </row>
    <row r="82">
      <c r="A82" s="26" t="str">
        <f>'System Parameters'!A34</f>
        <v>Regulator Efficiency</v>
      </c>
      <c r="B82" s="33">
        <f>'System Parameters'!B34</f>
        <v>1</v>
      </c>
      <c r="C82" s="26" t="str">
        <f>'System Parameters'!C34</f>
        <v>*No Voltage regulator used in sensor schematic</v>
      </c>
      <c r="D82" s="26" t="str">
        <f>'System Parameters'!D34</f>
        <v/>
      </c>
      <c r="T82" s="26" t="str">
        <f>'System Parameters'!E34</f>
        <v/>
      </c>
      <c r="U82" s="26" t="str">
        <f>'System Parameters'!F34</f>
        <v/>
      </c>
      <c r="V82" s="26" t="str">
        <f>'System Parameters'!G34</f>
        <v/>
      </c>
      <c r="W82" s="26" t="str">
        <f>'System Parameters'!H34</f>
        <v/>
      </c>
    </row>
    <row r="83">
      <c r="A83" s="26" t="str">
        <f>'System Parameters'!A35</f>
        <v/>
      </c>
      <c r="B83" s="26" t="str">
        <f>'System Parameters'!B35</f>
        <v/>
      </c>
      <c r="C83" s="26" t="str">
        <f>'System Parameters'!C35</f>
        <v/>
      </c>
      <c r="D83" s="26" t="str">
        <f>'System Parameters'!D35</f>
        <v/>
      </c>
      <c r="O83" s="26" t="str">
        <f>'System Parameters'!E35</f>
        <v/>
      </c>
      <c r="P83" s="26" t="str">
        <f>'System Parameters'!F35</f>
        <v/>
      </c>
      <c r="Q83" s="26" t="str">
        <f>'System Parameters'!G35</f>
        <v/>
      </c>
      <c r="R83" s="26" t="str">
        <f>'System Parameters'!H35</f>
        <v/>
      </c>
      <c r="S83" s="26" t="str">
        <f>'System Parameters'!I35</f>
        <v/>
      </c>
      <c r="T83" s="26" t="str">
        <f>'System Parameters'!J35</f>
        <v/>
      </c>
      <c r="U83" s="26" t="str">
        <f t="shared" ref="U83:V83" si="30">#REF!</f>
        <v>#REF!</v>
      </c>
      <c r="V83" s="26" t="str">
        <f t="shared" si="30"/>
        <v>#REF!</v>
      </c>
    </row>
    <row r="84">
      <c r="A84" s="26" t="str">
        <f>'System Parameters'!A36</f>
        <v/>
      </c>
      <c r="B84" s="26" t="str">
        <f>'System Parameters'!B36</f>
        <v/>
      </c>
      <c r="C84" s="26" t="str">
        <f>'System Parameters'!C36</f>
        <v/>
      </c>
      <c r="D84" s="26" t="str">
        <f>'System Parameters'!D36</f>
        <v/>
      </c>
      <c r="O84" s="26" t="str">
        <f>'System Parameters'!E36</f>
        <v/>
      </c>
      <c r="P84" s="26" t="str">
        <f>'System Parameters'!F36</f>
        <v/>
      </c>
      <c r="Q84" s="26" t="str">
        <f>'System Parameters'!G36</f>
        <v/>
      </c>
      <c r="R84" s="26" t="str">
        <f>'System Parameters'!H36</f>
        <v/>
      </c>
      <c r="S84" s="26" t="str">
        <f>'System Parameters'!I36</f>
        <v/>
      </c>
      <c r="T84" s="26" t="str">
        <f>'System Parameters'!J36</f>
        <v/>
      </c>
      <c r="U84" s="26" t="str">
        <f t="shared" ref="U84:V84" si="31">#REF!</f>
        <v>#REF!</v>
      </c>
      <c r="V84" s="26" t="str">
        <f t="shared" si="31"/>
        <v>#REF!</v>
      </c>
    </row>
    <row r="85">
      <c r="A85" s="26" t="str">
        <f>'System Parameters'!A37</f>
        <v/>
      </c>
      <c r="B85" s="26" t="str">
        <f>'System Parameters'!K24</f>
        <v/>
      </c>
      <c r="C85" s="26" t="str">
        <f>'System Parameters'!L24</f>
        <v/>
      </c>
      <c r="D85" s="26" t="str">
        <f>'System Parameters'!M24</f>
        <v/>
      </c>
      <c r="O85" s="26" t="str">
        <f>'System Parameters'!N24</f>
        <v/>
      </c>
      <c r="P85" s="26" t="str">
        <f>'System Parameters'!O24</f>
        <v/>
      </c>
      <c r="Q85" s="26" t="str">
        <f>'System Parameters'!P24</f>
        <v/>
      </c>
      <c r="R85" s="26" t="str">
        <f>'System Parameters'!Q24</f>
        <v/>
      </c>
      <c r="S85" s="26" t="str">
        <f>'System Parameters'!I37</f>
        <v/>
      </c>
      <c r="T85" s="26" t="str">
        <f>'System Parameters'!J37</f>
        <v/>
      </c>
      <c r="U85" s="26" t="str">
        <f t="shared" ref="U85:V85" si="32">#REF!</f>
        <v>#REF!</v>
      </c>
      <c r="V85" s="26" t="str">
        <f t="shared" si="32"/>
        <v>#REF!</v>
      </c>
    </row>
    <row r="86">
      <c r="A86" s="26" t="str">
        <f>'System Parameters'!A38</f>
        <v>REFLECTIONS : WHAT DID YOU LEARN FROM ANALYZING YOUR POWER.  TALK ABOUT SOME POTENTIAL TRADEOFFS. </v>
      </c>
      <c r="B86" s="26" t="str">
        <f>'System Parameters'!K25</f>
        <v/>
      </c>
      <c r="C86" s="26" t="str">
        <f t="shared" ref="C86:D86" si="33">#REF!</f>
        <v>#REF!</v>
      </c>
      <c r="D86" s="26" t="str">
        <f t="shared" si="33"/>
        <v>#REF!</v>
      </c>
      <c r="O86" s="26" t="str">
        <f t="shared" ref="O86:Q86" si="34">#REF!</f>
        <v>#REF!</v>
      </c>
      <c r="P86" s="26" t="str">
        <f t="shared" si="34"/>
        <v>#REF!</v>
      </c>
      <c r="Q86" s="26" t="str">
        <f t="shared" si="34"/>
        <v>#REF!</v>
      </c>
      <c r="R86" s="26" t="str">
        <f>'System Parameters'!Q25</f>
        <v/>
      </c>
      <c r="S86" s="26" t="str">
        <f>'System Parameters'!I38</f>
        <v/>
      </c>
      <c r="T86" s="26" t="str">
        <f>'System Parameters'!J38</f>
        <v/>
      </c>
      <c r="U86" s="26" t="str">
        <f t="shared" ref="U86:V86" si="35">#REF!</f>
        <v>#REF!</v>
      </c>
      <c r="V86" s="26" t="str">
        <f t="shared" si="35"/>
        <v>#REF!</v>
      </c>
    </row>
    <row r="87">
      <c r="A87" s="26" t="str">
        <f>'System Parameters'!L25</f>
        <v>Total power in profile (mw)</v>
      </c>
      <c r="B87" s="26" t="str">
        <f>'System Parameters'!M25</f>
        <v/>
      </c>
      <c r="C87" s="26" t="str">
        <f>'System Parameters'!N25</f>
        <v/>
      </c>
      <c r="R87" s="26" t="str">
        <f>'System Parameters'!Q26</f>
        <v/>
      </c>
      <c r="S87" s="26" t="str">
        <f>'System Parameters'!I39</f>
        <v/>
      </c>
      <c r="T87" s="26" t="str">
        <f>'System Parameters'!J39</f>
        <v/>
      </c>
      <c r="U87" s="26" t="str">
        <f>'System Parameters'!K39</f>
        <v/>
      </c>
      <c r="V87" s="26" t="str">
        <f>'System Parameters'!L39</f>
        <v/>
      </c>
    </row>
    <row r="88">
      <c r="A88" s="26" t="str">
        <f>'System Parameters'!L26</f>
        <v>"off"</v>
      </c>
      <c r="B88" s="26">
        <f>sumproduct(B56:B76, $T56:$T76)</f>
        <v>0.205</v>
      </c>
      <c r="C88" s="26" t="str">
        <f>'System Parameters'!N26</f>
        <v>mW</v>
      </c>
      <c r="D88" s="26">
        <f t="shared" ref="D88:O88" si="36">sumproduct(D56:D76, $T56:$T76)</f>
        <v>0.205</v>
      </c>
      <c r="E88" s="26">
        <f t="shared" si="36"/>
        <v>0.205</v>
      </c>
      <c r="F88" s="26">
        <f t="shared" si="36"/>
        <v>0.1905</v>
      </c>
      <c r="G88" s="26">
        <f t="shared" si="36"/>
        <v>0.205</v>
      </c>
      <c r="H88" s="26">
        <f t="shared" si="36"/>
        <v>0.205</v>
      </c>
      <c r="I88" s="26" t="str">
        <f t="shared" si="36"/>
        <v>#VALUE!</v>
      </c>
      <c r="J88" s="26">
        <f t="shared" si="36"/>
        <v>0.199</v>
      </c>
      <c r="K88" s="26">
        <f t="shared" si="36"/>
        <v>0.205</v>
      </c>
      <c r="L88" s="26">
        <f t="shared" si="36"/>
        <v>0.205</v>
      </c>
      <c r="M88" s="26">
        <f t="shared" si="36"/>
        <v>0.205</v>
      </c>
      <c r="N88" s="26">
        <f t="shared" si="36"/>
        <v>0.205</v>
      </c>
      <c r="O88" s="26">
        <f t="shared" si="36"/>
        <v>0.205</v>
      </c>
      <c r="R88" s="26" t="str">
        <f>'System Parameters'!Q27</f>
        <v/>
      </c>
      <c r="S88" s="26" t="str">
        <f>'System Parameters'!I40</f>
        <v/>
      </c>
      <c r="T88" s="26" t="str">
        <f>'System Parameters'!J40</f>
        <v/>
      </c>
      <c r="U88" s="26" t="str">
        <f>'System Parameters'!K40</f>
        <v/>
      </c>
      <c r="V88" s="26" t="str">
        <f>'System Parameters'!L40</f>
        <v/>
      </c>
    </row>
    <row r="89">
      <c r="A89" s="26" t="str">
        <f>'System Parameters'!L27</f>
        <v>"High-frequencysensing"</v>
      </c>
      <c r="B89" s="26">
        <f>sumproduct(B56:B76,$U56:$U76)</f>
        <v>136.242</v>
      </c>
      <c r="C89" s="26" t="str">
        <f>'System Parameters'!N27</f>
        <v>mW</v>
      </c>
      <c r="D89" s="26">
        <f t="shared" ref="D89:O89" si="37">sumproduct(D56:D76,$U56:$U76)</f>
        <v>132.5295</v>
      </c>
      <c r="E89" s="26">
        <f t="shared" si="37"/>
        <v>129.2295</v>
      </c>
      <c r="F89" s="26">
        <f t="shared" si="37"/>
        <v>136.242</v>
      </c>
      <c r="G89" s="26">
        <f t="shared" si="37"/>
        <v>136.242</v>
      </c>
      <c r="H89" s="26">
        <f t="shared" si="37"/>
        <v>136.134</v>
      </c>
      <c r="I89" s="26" t="str">
        <f t="shared" si="37"/>
        <v>#VALUE!</v>
      </c>
      <c r="J89" s="26">
        <f t="shared" si="37"/>
        <v>136.2408</v>
      </c>
      <c r="K89" s="26">
        <f t="shared" si="37"/>
        <v>136.242</v>
      </c>
      <c r="L89" s="26">
        <f t="shared" si="37"/>
        <v>136.242</v>
      </c>
      <c r="M89" s="26">
        <f t="shared" si="37"/>
        <v>136.062</v>
      </c>
      <c r="N89" s="26">
        <f t="shared" si="37"/>
        <v>134.262</v>
      </c>
      <c r="O89" s="26">
        <f t="shared" si="37"/>
        <v>135.612</v>
      </c>
      <c r="R89" s="26" t="str">
        <f>'System Parameters'!Q28</f>
        <v/>
      </c>
      <c r="S89" s="26" t="str">
        <f>'System Parameters'!I41</f>
        <v/>
      </c>
      <c r="T89" s="26" t="str">
        <f>'System Parameters'!J41</f>
        <v/>
      </c>
      <c r="U89" s="26" t="str">
        <f>'System Parameters'!K41</f>
        <v/>
      </c>
      <c r="V89" s="26" t="str">
        <f>'System Parameters'!L41</f>
        <v/>
      </c>
    </row>
    <row r="90">
      <c r="A90" s="26" t="str">
        <f>'System Parameters'!L28</f>
        <v>"Low-frequencysensing"</v>
      </c>
      <c r="B90" s="26">
        <f>sumproduct(B56:B76, $V56:$V76)</f>
        <v>136.242</v>
      </c>
      <c r="C90" s="26" t="str">
        <f>'System Parameters'!N28</f>
        <v>mW</v>
      </c>
      <c r="D90" s="26">
        <f t="shared" ref="D90:O90" si="38">sumproduct(D56:D76, $V56:$V76)</f>
        <v>132.5295</v>
      </c>
      <c r="E90" s="26">
        <f t="shared" si="38"/>
        <v>129.2295</v>
      </c>
      <c r="F90" s="26">
        <f t="shared" si="38"/>
        <v>136.242</v>
      </c>
      <c r="G90" s="26">
        <f t="shared" si="38"/>
        <v>136.242</v>
      </c>
      <c r="H90" s="26">
        <f t="shared" si="38"/>
        <v>136.134</v>
      </c>
      <c r="I90" s="26" t="str">
        <f t="shared" si="38"/>
        <v>#VALUE!</v>
      </c>
      <c r="J90" s="26">
        <f t="shared" si="38"/>
        <v>136.2408</v>
      </c>
      <c r="K90" s="26">
        <f t="shared" si="38"/>
        <v>136.242</v>
      </c>
      <c r="L90" s="26">
        <f t="shared" si="38"/>
        <v>136.242</v>
      </c>
      <c r="M90" s="26">
        <f t="shared" si="38"/>
        <v>136.062</v>
      </c>
      <c r="N90" s="26">
        <f t="shared" si="38"/>
        <v>134.262</v>
      </c>
      <c r="O90" s="26">
        <f t="shared" si="38"/>
        <v>135.612</v>
      </c>
      <c r="R90" s="26" t="str">
        <f>'System Parameters'!Q29</f>
        <v/>
      </c>
      <c r="S90" s="26" t="str">
        <f>'System Parameters'!I42</f>
        <v/>
      </c>
      <c r="T90" s="26" t="str">
        <f>'System Parameters'!J42</f>
        <v/>
      </c>
      <c r="U90" s="26" t="str">
        <f>'System Parameters'!K42</f>
        <v/>
      </c>
      <c r="V90" s="26" t="str">
        <f>'System Parameters'!L42</f>
        <v/>
      </c>
    </row>
    <row r="91">
      <c r="A91" s="26" t="str">
        <f>'System Parameters'!L29</f>
        <v/>
      </c>
      <c r="B91" s="26" t="str">
        <f>'System Parameters'!M29</f>
        <v/>
      </c>
      <c r="C91" s="26" t="str">
        <f>'System Parameters'!N29</f>
        <v/>
      </c>
      <c r="D91" s="26" t="str">
        <f>'System Parameters'!O29</f>
        <v/>
      </c>
      <c r="E91" s="26" t="str">
        <f>'System Parameters'!P29</f>
        <v/>
      </c>
      <c r="F91" s="26" t="str">
        <f>'System Parameters'!Q30</f>
        <v/>
      </c>
      <c r="G91" s="26" t="str">
        <f>'System Parameters'!I43</f>
        <v/>
      </c>
      <c r="H91" s="26" t="str">
        <f>'System Parameters'!J43</f>
        <v/>
      </c>
      <c r="I91" s="26" t="str">
        <f>'System Parameters'!K43</f>
        <v/>
      </c>
      <c r="J91" s="26" t="str">
        <f>'System Parameters'!L43</f>
        <v/>
      </c>
      <c r="K91" s="26" t="str">
        <f>'System Parameters'!M43</f>
        <v/>
      </c>
      <c r="L91" s="26" t="str">
        <f>'System Parameters'!N43</f>
        <v/>
      </c>
      <c r="M91" s="26" t="str">
        <f>'System Parameters'!O43</f>
        <v/>
      </c>
      <c r="N91" s="26" t="str">
        <f>'System Parameters'!P43</f>
        <v/>
      </c>
      <c r="O91" s="26" t="str">
        <f>'System Parameters'!Q43</f>
        <v/>
      </c>
      <c r="R91" s="26" t="str">
        <f>'System Parameters'!Q30</f>
        <v/>
      </c>
      <c r="S91" s="26" t="str">
        <f>'System Parameters'!I43</f>
        <v/>
      </c>
      <c r="T91" s="26" t="str">
        <f>'System Parameters'!J43</f>
        <v/>
      </c>
      <c r="U91" s="26" t="str">
        <f>'System Parameters'!K43</f>
        <v/>
      </c>
      <c r="V91" s="26" t="str">
        <f>'System Parameters'!L43</f>
        <v/>
      </c>
    </row>
    <row r="92">
      <c r="A92" s="26" t="str">
        <f>'System Parameters'!L30</f>
        <v>Effective Battery Capacity</v>
      </c>
      <c r="B92" s="26" t="str">
        <f>'System Parameters'!M30</f>
        <v/>
      </c>
      <c r="C92" s="26" t="str">
        <f>'System Parameters'!N30</f>
        <v/>
      </c>
      <c r="D92" s="26" t="str">
        <f>'System Parameters'!O30</f>
        <v/>
      </c>
      <c r="E92" s="26" t="str">
        <f>'System Parameters'!P30</f>
        <v/>
      </c>
      <c r="F92" s="26" t="str">
        <f>'System Parameters'!Q31</f>
        <v/>
      </c>
      <c r="G92" s="26" t="str">
        <f>'System Parameters'!I44</f>
        <v/>
      </c>
      <c r="H92" s="26" t="str">
        <f>'System Parameters'!J44</f>
        <v/>
      </c>
      <c r="I92" s="26" t="str">
        <f>'System Parameters'!K44</f>
        <v/>
      </c>
      <c r="J92" s="26" t="str">
        <f>'System Parameters'!L44</f>
        <v/>
      </c>
      <c r="K92" s="26" t="str">
        <f>'System Parameters'!M44</f>
        <v/>
      </c>
      <c r="L92" s="26" t="str">
        <f>'System Parameters'!N44</f>
        <v/>
      </c>
      <c r="M92" s="26" t="str">
        <f>'System Parameters'!O44</f>
        <v/>
      </c>
      <c r="N92" s="26" t="str">
        <f>'System Parameters'!P44</f>
        <v/>
      </c>
      <c r="O92" s="26" t="str">
        <f>'System Parameters'!Q44</f>
        <v/>
      </c>
      <c r="P92" s="26" t="str">
        <f>'System Parameters'!O30</f>
        <v/>
      </c>
      <c r="Q92" s="26" t="str">
        <f>'System Parameters'!P30</f>
        <v/>
      </c>
      <c r="R92" s="26" t="str">
        <f>'System Parameters'!Q31</f>
        <v/>
      </c>
      <c r="S92" s="26" t="str">
        <f>'System Parameters'!I44</f>
        <v/>
      </c>
      <c r="T92" s="26" t="str">
        <f>'System Parameters'!J44</f>
        <v/>
      </c>
      <c r="U92" s="26" t="str">
        <f>'System Parameters'!K44</f>
        <v/>
      </c>
      <c r="V92" s="26" t="str">
        <f>'System Parameters'!L44</f>
        <v/>
      </c>
    </row>
    <row r="93">
      <c r="A93" s="26" t="str">
        <f>'System Parameters'!L31</f>
        <v/>
      </c>
      <c r="B93" s="26">
        <f>B80*B81*B82</f>
        <v>148</v>
      </c>
      <c r="C93" s="26" t="str">
        <f>'System Parameters'!N31</f>
        <v>mW*h</v>
      </c>
      <c r="D93" s="26">
        <f t="shared" ref="D93:O93" si="39">$B93</f>
        <v>148</v>
      </c>
      <c r="E93" s="26">
        <f t="shared" si="39"/>
        <v>148</v>
      </c>
      <c r="F93" s="26">
        <f t="shared" si="39"/>
        <v>148</v>
      </c>
      <c r="G93" s="26">
        <f t="shared" si="39"/>
        <v>148</v>
      </c>
      <c r="H93" s="26">
        <f t="shared" si="39"/>
        <v>148</v>
      </c>
      <c r="I93" s="26">
        <f t="shared" si="39"/>
        <v>148</v>
      </c>
      <c r="J93" s="26">
        <f t="shared" si="39"/>
        <v>148</v>
      </c>
      <c r="K93" s="26">
        <f t="shared" si="39"/>
        <v>148</v>
      </c>
      <c r="L93" s="26">
        <f t="shared" si="39"/>
        <v>148</v>
      </c>
      <c r="M93" s="26">
        <f t="shared" si="39"/>
        <v>148</v>
      </c>
      <c r="N93" s="26">
        <f t="shared" si="39"/>
        <v>148</v>
      </c>
      <c r="O93" s="26">
        <f t="shared" si="39"/>
        <v>148</v>
      </c>
      <c r="P93" s="26" t="str">
        <f>'System Parameters'!O31</f>
        <v/>
      </c>
      <c r="Q93" s="26" t="str">
        <f>'System Parameters'!P31</f>
        <v/>
      </c>
      <c r="R93" s="26" t="str">
        <f>'System Parameters'!Q32</f>
        <v/>
      </c>
      <c r="S93" s="26" t="str">
        <f>'System Parameters'!I45</f>
        <v/>
      </c>
      <c r="T93" s="26" t="str">
        <f>'System Parameters'!J45</f>
        <v/>
      </c>
      <c r="U93" s="26" t="str">
        <f>'System Parameters'!K45</f>
        <v/>
      </c>
      <c r="V93" s="26" t="str">
        <f>'System Parameters'!L45</f>
        <v/>
      </c>
    </row>
    <row r="94">
      <c r="A94" s="26" t="str">
        <f>'System Parameters'!L32</f>
        <v/>
      </c>
      <c r="B94" s="26" t="str">
        <f>'System Parameters'!M32</f>
        <v/>
      </c>
      <c r="C94" s="26" t="str">
        <f>'System Parameters'!N32</f>
        <v/>
      </c>
      <c r="D94" s="26" t="str">
        <f>'System Parameters'!O32</f>
        <v/>
      </c>
      <c r="E94" s="26" t="str">
        <f>'System Parameters'!P32</f>
        <v/>
      </c>
      <c r="F94" s="26" t="str">
        <f>'System Parameters'!Q33</f>
        <v/>
      </c>
      <c r="G94" s="26" t="str">
        <f>'System Parameters'!I46</f>
        <v/>
      </c>
      <c r="H94" s="26" t="str">
        <f>'System Parameters'!J46</f>
        <v/>
      </c>
      <c r="I94" s="26" t="str">
        <f>'System Parameters'!K46</f>
        <v/>
      </c>
      <c r="J94" s="26" t="str">
        <f>'System Parameters'!L46</f>
        <v/>
      </c>
      <c r="K94" s="26" t="str">
        <f>'System Parameters'!M46</f>
        <v/>
      </c>
      <c r="L94" s="26" t="str">
        <f>'System Parameters'!N46</f>
        <v/>
      </c>
      <c r="M94" s="26" t="str">
        <f>'System Parameters'!O46</f>
        <v/>
      </c>
      <c r="N94" s="26" t="str">
        <f>'System Parameters'!P46</f>
        <v/>
      </c>
      <c r="O94" s="26" t="str">
        <f>'System Parameters'!Q46</f>
        <v/>
      </c>
      <c r="P94" s="26" t="str">
        <f>'System Parameters'!O32</f>
        <v/>
      </c>
      <c r="Q94" s="26" t="str">
        <f>'System Parameters'!P32</f>
        <v/>
      </c>
      <c r="R94" s="26" t="str">
        <f>'System Parameters'!Q33</f>
        <v/>
      </c>
      <c r="S94" s="26" t="str">
        <f>'System Parameters'!I46</f>
        <v/>
      </c>
      <c r="T94" s="26" t="str">
        <f>'System Parameters'!J46</f>
        <v/>
      </c>
      <c r="U94" s="26" t="str">
        <f>'System Parameters'!K46</f>
        <v/>
      </c>
      <c r="V94" s="26" t="str">
        <f>'System Parameters'!L46</f>
        <v/>
      </c>
    </row>
    <row r="95">
      <c r="A95" s="26" t="str">
        <f>'System Parameters'!L33</f>
        <v>Days of Use</v>
      </c>
      <c r="B95" s="26">
        <f>B93/($T78*B88+$U78*B89+$V78*B90)</f>
        <v>10.24746946</v>
      </c>
      <c r="C95" s="26" t="str">
        <f>'System Parameters'!N33</f>
        <v>days</v>
      </c>
      <c r="D95" s="26">
        <f t="shared" ref="D95:O95" si="40">D93/($T78*D88+$U78*D89+$V78*D90)</f>
        <v>10.43523754</v>
      </c>
      <c r="E95" s="26">
        <f t="shared" si="40"/>
        <v>10.60801486</v>
      </c>
      <c r="F95" s="26">
        <f t="shared" si="40"/>
        <v>10.49972669</v>
      </c>
      <c r="G95" s="26">
        <f t="shared" si="40"/>
        <v>10.24746946</v>
      </c>
      <c r="H95" s="26">
        <f t="shared" si="40"/>
        <v>10.25283633</v>
      </c>
      <c r="I95" s="26" t="str">
        <f t="shared" si="40"/>
        <v>#VALUE!</v>
      </c>
      <c r="J95" s="26">
        <f t="shared" si="40"/>
        <v>10.35042772</v>
      </c>
      <c r="K95" s="26">
        <f t="shared" si="40"/>
        <v>10.24746946</v>
      </c>
      <c r="L95" s="26">
        <f t="shared" si="40"/>
        <v>10.24746946</v>
      </c>
      <c r="M95" s="26">
        <f t="shared" si="40"/>
        <v>10.25641736</v>
      </c>
      <c r="N95" s="26">
        <f t="shared" si="40"/>
        <v>10.34676339</v>
      </c>
      <c r="O95" s="26">
        <f t="shared" si="40"/>
        <v>10.27885563</v>
      </c>
      <c r="P95" s="26" t="str">
        <f>'System Parameters'!O33</f>
        <v/>
      </c>
      <c r="Q95" s="26" t="str">
        <f>'System Parameters'!P33</f>
        <v/>
      </c>
      <c r="R95" s="26" t="str">
        <f>'System Parameters'!Q34</f>
        <v/>
      </c>
      <c r="S95" s="26" t="str">
        <f>'System Parameters'!I47</f>
        <v/>
      </c>
      <c r="T95" s="26" t="str">
        <f>'System Parameters'!J47</f>
        <v/>
      </c>
      <c r="U95" s="26" t="str">
        <f>'System Parameters'!K47</f>
        <v/>
      </c>
      <c r="V95" s="26" t="str">
        <f>'System Parameters'!L47</f>
        <v/>
      </c>
    </row>
    <row r="96">
      <c r="A96" s="26" t="str">
        <f>'System Parameters'!L34</f>
        <v>Hours of Use</v>
      </c>
      <c r="B96" s="26">
        <f>B95*24</f>
        <v>245.9392671</v>
      </c>
      <c r="C96" s="26" t="str">
        <f>'System Parameters'!N34</f>
        <v>hours</v>
      </c>
      <c r="D96" s="26">
        <f t="shared" ref="D96:O96" si="41">D95*24</f>
        <v>250.445701</v>
      </c>
      <c r="E96" s="26">
        <f t="shared" si="41"/>
        <v>254.5923566</v>
      </c>
      <c r="F96" s="26">
        <f t="shared" si="41"/>
        <v>251.9934405</v>
      </c>
      <c r="G96" s="26">
        <f t="shared" si="41"/>
        <v>245.9392671</v>
      </c>
      <c r="H96" s="26">
        <f t="shared" si="41"/>
        <v>246.0680719</v>
      </c>
      <c r="I96" s="26" t="str">
        <f t="shared" si="41"/>
        <v>#VALUE!</v>
      </c>
      <c r="J96" s="26">
        <f t="shared" si="41"/>
        <v>248.4102652</v>
      </c>
      <c r="K96" s="26">
        <f t="shared" si="41"/>
        <v>245.9392671</v>
      </c>
      <c r="L96" s="26">
        <f t="shared" si="41"/>
        <v>245.9392671</v>
      </c>
      <c r="M96" s="26">
        <f t="shared" si="41"/>
        <v>246.1540167</v>
      </c>
      <c r="N96" s="26">
        <f t="shared" si="41"/>
        <v>248.3223213</v>
      </c>
      <c r="O96" s="26">
        <f t="shared" si="41"/>
        <v>246.6925351</v>
      </c>
      <c r="P96" s="26" t="str">
        <f>'System Parameters'!O34</f>
        <v/>
      </c>
      <c r="Q96" s="26" t="str">
        <f>'System Parameters'!P34</f>
        <v/>
      </c>
      <c r="R96" s="26" t="str">
        <f>'System Parameters'!Q35</f>
        <v/>
      </c>
      <c r="S96" s="26" t="str">
        <f>'System Parameters'!I48</f>
        <v/>
      </c>
      <c r="T96" s="26" t="str">
        <f>'System Parameters'!J48</f>
        <v/>
      </c>
      <c r="U96" s="26" t="str">
        <f>'System Parameters'!K48</f>
        <v/>
      </c>
      <c r="V96" s="26" t="str">
        <f>'System Parameters'!L48</f>
        <v/>
      </c>
    </row>
    <row r="97">
      <c r="A97" s="26" t="str">
        <f>'System Parameters'!A49</f>
        <v/>
      </c>
      <c r="B97" s="26" t="str">
        <f>'System Parameters'!K36</f>
        <v/>
      </c>
      <c r="C97" s="26" t="str">
        <f>'System Parameters'!L36</f>
        <v/>
      </c>
      <c r="D97" s="26" t="str">
        <f>'System Parameters'!M36</f>
        <v/>
      </c>
      <c r="O97" s="26" t="str">
        <f>'System Parameters'!N36</f>
        <v/>
      </c>
      <c r="P97" s="26" t="str">
        <f>'System Parameters'!O36</f>
        <v/>
      </c>
      <c r="Q97" s="26" t="str">
        <f>'System Parameters'!P36</f>
        <v/>
      </c>
      <c r="R97" s="26" t="str">
        <f>'System Parameters'!Q36</f>
        <v/>
      </c>
      <c r="S97" s="26" t="str">
        <f>'System Parameters'!I49</f>
        <v/>
      </c>
      <c r="T97" s="26" t="str">
        <f>'System Parameters'!J49</f>
        <v/>
      </c>
      <c r="U97" s="26" t="str">
        <f>'System Parameters'!K49</f>
        <v/>
      </c>
      <c r="V97" s="26" t="str">
        <f>'System Parameters'!L49</f>
        <v/>
      </c>
    </row>
    <row r="98">
      <c r="A98" s="9" t="s">
        <v>45</v>
      </c>
      <c r="B98" s="26" t="str">
        <f>'System Parameters'!K37</f>
        <v/>
      </c>
      <c r="C98" s="26" t="str">
        <f>'System Parameters'!L37</f>
        <v/>
      </c>
      <c r="D98" s="35">
        <f t="shared" ref="D98:O98" si="42">D96/$B96-1</f>
        <v>0.01832336051</v>
      </c>
      <c r="E98" s="35">
        <f t="shared" si="42"/>
        <v>0.03518384657</v>
      </c>
      <c r="F98" s="35">
        <f t="shared" si="42"/>
        <v>0.02461653828</v>
      </c>
      <c r="G98" s="35">
        <f t="shared" si="42"/>
        <v>0</v>
      </c>
      <c r="H98" s="35">
        <f t="shared" si="42"/>
        <v>0.0005237259639</v>
      </c>
      <c r="I98" s="35" t="str">
        <f t="shared" si="42"/>
        <v>#VALUE!</v>
      </c>
      <c r="J98" s="35">
        <f t="shared" si="42"/>
        <v>0.01004718816</v>
      </c>
      <c r="K98" s="35">
        <f t="shared" si="42"/>
        <v>0</v>
      </c>
      <c r="L98" s="35">
        <f t="shared" si="42"/>
        <v>0</v>
      </c>
      <c r="M98" s="35">
        <f t="shared" si="42"/>
        <v>0.0008731814783</v>
      </c>
      <c r="N98" s="35">
        <f t="shared" si="42"/>
        <v>0.009689604089</v>
      </c>
      <c r="O98" s="35">
        <f t="shared" si="42"/>
        <v>0.003062821171</v>
      </c>
      <c r="P98" s="26" t="str">
        <f>'System Parameters'!O37</f>
        <v/>
      </c>
      <c r="Q98" s="26" t="str">
        <f>'System Parameters'!P37</f>
        <v/>
      </c>
      <c r="R98" s="26" t="str">
        <f>'System Parameters'!Q37</f>
        <v/>
      </c>
      <c r="S98" s="26" t="str">
        <f>'System Parameters'!I50</f>
        <v/>
      </c>
      <c r="T98" s="26" t="str">
        <f>'System Parameters'!J50</f>
        <v/>
      </c>
      <c r="U98" s="26" t="str">
        <f>'System Parameters'!K50</f>
        <v/>
      </c>
      <c r="V98" s="26" t="str">
        <f>'System Parameters'!L50</f>
        <v/>
      </c>
    </row>
    <row r="99">
      <c r="A99" s="9" t="s">
        <v>46</v>
      </c>
      <c r="B99" s="26" t="str">
        <f>'System Parameters'!K38</f>
        <v/>
      </c>
      <c r="C99" s="26" t="str">
        <f>'System Parameters'!L38</f>
        <v/>
      </c>
      <c r="D99" s="9" t="s">
        <v>47</v>
      </c>
      <c r="E99" s="9" t="s">
        <v>48</v>
      </c>
      <c r="F99" s="9" t="s">
        <v>49</v>
      </c>
      <c r="G99" s="9" t="s">
        <v>50</v>
      </c>
      <c r="H99" s="9" t="s">
        <v>51</v>
      </c>
      <c r="I99" s="9" t="s">
        <v>52</v>
      </c>
      <c r="J99" s="9" t="s">
        <v>53</v>
      </c>
      <c r="K99" s="9" t="s">
        <v>54</v>
      </c>
      <c r="L99" s="9" t="s">
        <v>55</v>
      </c>
      <c r="M99" s="9" t="s">
        <v>56</v>
      </c>
      <c r="N99" s="9" t="s">
        <v>57</v>
      </c>
      <c r="O99" s="9" t="s">
        <v>58</v>
      </c>
      <c r="P99" s="26" t="str">
        <f>'System Parameters'!O38</f>
        <v/>
      </c>
      <c r="Q99" s="26" t="str">
        <f>'System Parameters'!P38</f>
        <v/>
      </c>
      <c r="R99" s="26" t="str">
        <f>'System Parameters'!Q38</f>
        <v/>
      </c>
      <c r="S99" s="26" t="str">
        <f>'System Parameters'!I51</f>
        <v/>
      </c>
      <c r="T99" s="26" t="str">
        <f>'System Parameters'!J51</f>
        <v/>
      </c>
      <c r="U99" s="26" t="str">
        <f>'System Parameters'!K51</f>
        <v/>
      </c>
      <c r="V99" s="26" t="str">
        <f>'System Parameters'!L51</f>
        <v/>
      </c>
    </row>
    <row r="100">
      <c r="A100" s="26" t="str">
        <f>'System Parameters'!A52</f>
        <v/>
      </c>
      <c r="B100" s="26" t="str">
        <f>'System Parameters'!B52</f>
        <v/>
      </c>
      <c r="C100" s="26" t="str">
        <f>'System Parameters'!C52</f>
        <v/>
      </c>
      <c r="D100" s="26" t="str">
        <f>'System Parameters'!D52</f>
        <v/>
      </c>
      <c r="O100" s="26" t="str">
        <f>'System Parameters'!E52</f>
        <v/>
      </c>
      <c r="P100" s="26" t="str">
        <f>'System Parameters'!F52</f>
        <v/>
      </c>
      <c r="Q100" s="26" t="str">
        <f>'System Parameters'!G52</f>
        <v/>
      </c>
      <c r="R100" s="26" t="str">
        <f>'System Parameters'!H52</f>
        <v/>
      </c>
      <c r="S100" s="26" t="str">
        <f>'System Parameters'!I52</f>
        <v/>
      </c>
      <c r="T100" s="26" t="str">
        <f>'System Parameters'!J52</f>
        <v/>
      </c>
      <c r="U100" s="26" t="str">
        <f>'System Parameters'!K52</f>
        <v/>
      </c>
      <c r="V100" s="26" t="str">
        <f>'System Parameters'!L52</f>
        <v/>
      </c>
    </row>
    <row r="101">
      <c r="A101" s="26" t="str">
        <f>'System Parameters'!A53</f>
        <v/>
      </c>
      <c r="B101" s="26" t="str">
        <f>'System Parameters'!B53</f>
        <v/>
      </c>
      <c r="C101" s="26" t="str">
        <f>'System Parameters'!C53</f>
        <v/>
      </c>
      <c r="D101" s="26" t="str">
        <f>'System Parameters'!D53</f>
        <v/>
      </c>
      <c r="O101" s="26" t="str">
        <f>'System Parameters'!E53</f>
        <v/>
      </c>
      <c r="P101" s="26" t="str">
        <f>'System Parameters'!F53</f>
        <v/>
      </c>
      <c r="Q101" s="26" t="str">
        <f>'System Parameters'!G53</f>
        <v/>
      </c>
      <c r="R101" s="26" t="str">
        <f>'System Parameters'!H53</f>
        <v/>
      </c>
      <c r="S101" s="26" t="str">
        <f>'System Parameters'!I53</f>
        <v/>
      </c>
      <c r="T101" s="26" t="str">
        <f>'System Parameters'!J53</f>
        <v/>
      </c>
      <c r="U101" s="26" t="str">
        <f>'System Parameters'!K53</f>
        <v/>
      </c>
      <c r="V101" s="26" t="str">
        <f>'System Parameters'!L53</f>
        <v/>
      </c>
    </row>
    <row r="102">
      <c r="A102" s="26" t="str">
        <f>'System Parameters'!A54</f>
        <v/>
      </c>
      <c r="B102" s="26" t="str">
        <f>'System Parameters'!B54</f>
        <v/>
      </c>
      <c r="C102" s="26" t="str">
        <f>'System Parameters'!C54</f>
        <v/>
      </c>
      <c r="D102" s="26" t="str">
        <f>'System Parameters'!D54</f>
        <v/>
      </c>
      <c r="O102" s="26" t="str">
        <f>'System Parameters'!E54</f>
        <v/>
      </c>
      <c r="P102" s="26" t="str">
        <f>'System Parameters'!F54</f>
        <v/>
      </c>
      <c r="Q102" s="26" t="str">
        <f>'System Parameters'!G54</f>
        <v/>
      </c>
      <c r="R102" s="26" t="str">
        <f>'System Parameters'!H54</f>
        <v/>
      </c>
      <c r="S102" s="26" t="str">
        <f>'System Parameters'!I54</f>
        <v/>
      </c>
      <c r="T102" s="26" t="str">
        <f>'System Parameters'!J54</f>
        <v/>
      </c>
      <c r="U102" s="26" t="str">
        <f>'System Parameters'!K54</f>
        <v/>
      </c>
      <c r="V102" s="26" t="str">
        <f>'System Parameters'!L54</f>
        <v/>
      </c>
    </row>
    <row r="103">
      <c r="A103" s="26" t="str">
        <f>'System Parameters'!A55</f>
        <v/>
      </c>
      <c r="B103" s="26" t="str">
        <f>'System Parameters'!B55</f>
        <v/>
      </c>
      <c r="C103" s="26" t="str">
        <f>'System Parameters'!C55</f>
        <v/>
      </c>
      <c r="D103" s="26" t="str">
        <f>'System Parameters'!D55</f>
        <v/>
      </c>
      <c r="O103" s="26" t="str">
        <f>'System Parameters'!E55</f>
        <v/>
      </c>
      <c r="P103" s="26" t="str">
        <f>'System Parameters'!F55</f>
        <v/>
      </c>
      <c r="Q103" s="26" t="str">
        <f>'System Parameters'!G55</f>
        <v/>
      </c>
      <c r="R103" s="26" t="str">
        <f>'System Parameters'!H55</f>
        <v/>
      </c>
      <c r="S103" s="26" t="str">
        <f>'System Parameters'!I55</f>
        <v/>
      </c>
      <c r="T103" s="26" t="str">
        <f>'System Parameters'!J55</f>
        <v/>
      </c>
      <c r="U103" s="26" t="str">
        <f>'System Parameters'!K55</f>
        <v/>
      </c>
      <c r="V103" s="26" t="str">
        <f>'System Parameters'!L55</f>
        <v/>
      </c>
    </row>
    <row r="104">
      <c r="A104" s="26" t="str">
        <f>'System Parameters'!A56</f>
        <v/>
      </c>
      <c r="B104" s="26" t="str">
        <f>'System Parameters'!B56</f>
        <v/>
      </c>
      <c r="C104" s="26" t="str">
        <f>'System Parameters'!C56</f>
        <v/>
      </c>
      <c r="D104" s="26" t="str">
        <f>'System Parameters'!D56</f>
        <v/>
      </c>
      <c r="O104" s="26" t="str">
        <f>'System Parameters'!E56</f>
        <v/>
      </c>
      <c r="P104" s="26" t="str">
        <f>'System Parameters'!F56</f>
        <v/>
      </c>
      <c r="Q104" s="26" t="str">
        <f>'System Parameters'!G56</f>
        <v/>
      </c>
      <c r="R104" s="26" t="str">
        <f>'System Parameters'!H56</f>
        <v/>
      </c>
      <c r="S104" s="26" t="str">
        <f>'System Parameters'!I56</f>
        <v/>
      </c>
      <c r="T104" s="26" t="str">
        <f>'System Parameters'!J56</f>
        <v/>
      </c>
      <c r="U104" s="26" t="str">
        <f>'System Parameters'!K56</f>
        <v/>
      </c>
      <c r="V104" s="26" t="str">
        <f>'System Parameters'!L56</f>
        <v/>
      </c>
    </row>
    <row r="105">
      <c r="A105" s="26" t="str">
        <f>'System Parameters'!A57</f>
        <v/>
      </c>
      <c r="B105" s="26" t="str">
        <f>'System Parameters'!B57</f>
        <v/>
      </c>
      <c r="C105" s="26" t="str">
        <f>'System Parameters'!C57</f>
        <v/>
      </c>
      <c r="D105" s="26" t="str">
        <f>'System Parameters'!D57</f>
        <v/>
      </c>
      <c r="O105" s="26" t="str">
        <f>'System Parameters'!E57</f>
        <v/>
      </c>
      <c r="P105" s="26" t="str">
        <f>'System Parameters'!F57</f>
        <v/>
      </c>
      <c r="Q105" s="26" t="str">
        <f>'System Parameters'!G57</f>
        <v/>
      </c>
      <c r="R105" s="26" t="str">
        <f>'System Parameters'!H57</f>
        <v/>
      </c>
      <c r="S105" s="26" t="str">
        <f>'System Parameters'!I57</f>
        <v/>
      </c>
      <c r="T105" s="26" t="str">
        <f>'System Parameters'!J57</f>
        <v/>
      </c>
      <c r="U105" s="26" t="str">
        <f>'System Parameters'!K57</f>
        <v/>
      </c>
      <c r="V105" s="26" t="str">
        <f>'System Parameters'!L57</f>
        <v/>
      </c>
    </row>
    <row r="106">
      <c r="A106" s="26" t="str">
        <f>'System Parameters'!A58</f>
        <v/>
      </c>
      <c r="B106" s="26" t="str">
        <f>'System Parameters'!B58</f>
        <v/>
      </c>
      <c r="C106" s="26" t="str">
        <f>'System Parameters'!C58</f>
        <v/>
      </c>
      <c r="D106" s="26" t="str">
        <f>'System Parameters'!D58</f>
        <v/>
      </c>
      <c r="O106" s="26" t="str">
        <f>'System Parameters'!E58</f>
        <v/>
      </c>
      <c r="P106" s="26" t="str">
        <f>'System Parameters'!F58</f>
        <v/>
      </c>
      <c r="Q106" s="26" t="str">
        <f>'System Parameters'!G58</f>
        <v/>
      </c>
      <c r="R106" s="26" t="str">
        <f>'System Parameters'!H58</f>
        <v/>
      </c>
      <c r="S106" s="26" t="str">
        <f>'System Parameters'!I58</f>
        <v/>
      </c>
      <c r="T106" s="26" t="str">
        <f>'System Parameters'!J58</f>
        <v/>
      </c>
      <c r="U106" s="26" t="str">
        <f>'System Parameters'!K58</f>
        <v/>
      </c>
      <c r="V106" s="26" t="str">
        <f>'System Parameters'!L58</f>
        <v/>
      </c>
    </row>
    <row r="107">
      <c r="A107" s="26" t="str">
        <f>'System Parameters'!A59</f>
        <v/>
      </c>
      <c r="B107" s="26" t="str">
        <f>'System Parameters'!B59</f>
        <v/>
      </c>
      <c r="C107" s="26" t="str">
        <f>'System Parameters'!C59</f>
        <v/>
      </c>
      <c r="D107" s="26" t="str">
        <f>'System Parameters'!D59</f>
        <v/>
      </c>
      <c r="O107" s="26" t="str">
        <f>'System Parameters'!E59</f>
        <v/>
      </c>
      <c r="P107" s="26" t="str">
        <f>'System Parameters'!F59</f>
        <v/>
      </c>
      <c r="Q107" s="26" t="str">
        <f>'System Parameters'!G59</f>
        <v/>
      </c>
      <c r="R107" s="26" t="str">
        <f>'System Parameters'!H59</f>
        <v/>
      </c>
      <c r="S107" s="26" t="str">
        <f>'System Parameters'!I59</f>
        <v/>
      </c>
      <c r="T107" s="26" t="str">
        <f>'System Parameters'!J59</f>
        <v/>
      </c>
      <c r="U107" s="26" t="str">
        <f>'System Parameters'!K59</f>
        <v/>
      </c>
      <c r="V107" s="26" t="str">
        <f>'System Parameters'!L59</f>
        <v/>
      </c>
    </row>
    <row r="108">
      <c r="A108" s="26" t="str">
        <f>'System Parameters'!A60</f>
        <v/>
      </c>
      <c r="B108" s="26" t="str">
        <f>'System Parameters'!B60</f>
        <v/>
      </c>
      <c r="C108" s="26" t="str">
        <f>'System Parameters'!C60</f>
        <v/>
      </c>
      <c r="D108" s="26" t="str">
        <f>'System Parameters'!D60</f>
        <v/>
      </c>
      <c r="O108" s="26" t="str">
        <f>'System Parameters'!E60</f>
        <v/>
      </c>
      <c r="P108" s="26" t="str">
        <f>'System Parameters'!F60</f>
        <v/>
      </c>
      <c r="Q108" s="26" t="str">
        <f>'System Parameters'!G60</f>
        <v/>
      </c>
      <c r="R108" s="26" t="str">
        <f>'System Parameters'!H60</f>
        <v/>
      </c>
      <c r="S108" s="26" t="str">
        <f>'System Parameters'!I60</f>
        <v/>
      </c>
      <c r="T108" s="26" t="str">
        <f>'System Parameters'!J60</f>
        <v/>
      </c>
      <c r="U108" s="26" t="str">
        <f>'System Parameters'!K60</f>
        <v/>
      </c>
      <c r="V108" s="26" t="str">
        <f>'System Parameters'!L60</f>
        <v/>
      </c>
    </row>
    <row r="109">
      <c r="A109" s="26" t="str">
        <f>'System Parameters'!A61</f>
        <v/>
      </c>
      <c r="B109" s="26" t="str">
        <f>'System Parameters'!B61</f>
        <v/>
      </c>
      <c r="C109" s="26" t="str">
        <f>'System Parameters'!C61</f>
        <v/>
      </c>
      <c r="D109" s="26" t="str">
        <f>'System Parameters'!D61</f>
        <v/>
      </c>
      <c r="O109" s="26" t="str">
        <f>'System Parameters'!E61</f>
        <v/>
      </c>
      <c r="P109" s="26" t="str">
        <f>'System Parameters'!F61</f>
        <v/>
      </c>
      <c r="Q109" s="26" t="str">
        <f>'System Parameters'!G61</f>
        <v/>
      </c>
      <c r="R109" s="26" t="str">
        <f>'System Parameters'!H61</f>
        <v/>
      </c>
      <c r="S109" s="26" t="str">
        <f>'System Parameters'!I61</f>
        <v/>
      </c>
      <c r="T109" s="26" t="str">
        <f>'System Parameters'!J61</f>
        <v/>
      </c>
      <c r="U109" s="26" t="str">
        <f>'System Parameters'!K61</f>
        <v/>
      </c>
      <c r="V109" s="26" t="str">
        <f>'System Parameters'!L61</f>
        <v/>
      </c>
    </row>
    <row r="110">
      <c r="A110" s="26" t="str">
        <f>'System Parameters'!A62</f>
        <v/>
      </c>
      <c r="B110" s="26" t="str">
        <f>'System Parameters'!B62</f>
        <v/>
      </c>
      <c r="C110" s="26" t="str">
        <f>'System Parameters'!C62</f>
        <v/>
      </c>
      <c r="D110" s="26" t="str">
        <f>'System Parameters'!D62</f>
        <v/>
      </c>
      <c r="O110" s="26" t="str">
        <f>'System Parameters'!E62</f>
        <v/>
      </c>
      <c r="P110" s="26" t="str">
        <f>'System Parameters'!F62</f>
        <v/>
      </c>
      <c r="Q110" s="26" t="str">
        <f>'System Parameters'!G62</f>
        <v/>
      </c>
      <c r="R110" s="26" t="str">
        <f>'System Parameters'!H62</f>
        <v/>
      </c>
      <c r="S110" s="26" t="str">
        <f>'System Parameters'!I62</f>
        <v/>
      </c>
      <c r="T110" s="26" t="str">
        <f>'System Parameters'!J62</f>
        <v/>
      </c>
      <c r="U110" s="26" t="str">
        <f>'System Parameters'!K62</f>
        <v/>
      </c>
      <c r="V110" s="26" t="str">
        <f>'System Parameters'!L62</f>
        <v/>
      </c>
    </row>
    <row r="111">
      <c r="A111" s="26" t="str">
        <f>'System Parameters'!A63</f>
        <v/>
      </c>
      <c r="B111" s="26" t="str">
        <f>'System Parameters'!B63</f>
        <v/>
      </c>
      <c r="C111" s="26" t="str">
        <f>'System Parameters'!C63</f>
        <v/>
      </c>
      <c r="D111" s="26" t="str">
        <f>'System Parameters'!D63</f>
        <v/>
      </c>
      <c r="O111" s="26" t="str">
        <f>'System Parameters'!E63</f>
        <v/>
      </c>
      <c r="P111" s="26" t="str">
        <f>'System Parameters'!F63</f>
        <v/>
      </c>
      <c r="Q111" s="26" t="str">
        <f>'System Parameters'!G63</f>
        <v/>
      </c>
      <c r="R111" s="26" t="str">
        <f>'System Parameters'!H63</f>
        <v/>
      </c>
      <c r="S111" s="26" t="str">
        <f>'System Parameters'!I63</f>
        <v/>
      </c>
      <c r="T111" s="26" t="str">
        <f>'System Parameters'!J63</f>
        <v/>
      </c>
      <c r="U111" s="26" t="str">
        <f>'System Parameters'!K63</f>
        <v/>
      </c>
      <c r="V111" s="26" t="str">
        <f>'System Parameters'!L63</f>
        <v/>
      </c>
    </row>
    <row r="112">
      <c r="A112" s="26" t="str">
        <f>'System Parameters'!A64</f>
        <v/>
      </c>
      <c r="B112" s="26" t="str">
        <f>'System Parameters'!B64</f>
        <v/>
      </c>
      <c r="C112" s="26" t="str">
        <f>'System Parameters'!C64</f>
        <v/>
      </c>
      <c r="D112" s="26" t="str">
        <f>'System Parameters'!D64</f>
        <v/>
      </c>
      <c r="O112" s="26" t="str">
        <f>'System Parameters'!E64</f>
        <v/>
      </c>
      <c r="P112" s="26" t="str">
        <f>'System Parameters'!F64</f>
        <v/>
      </c>
      <c r="Q112" s="26" t="str">
        <f>'System Parameters'!G64</f>
        <v/>
      </c>
      <c r="R112" s="26" t="str">
        <f>'System Parameters'!H64</f>
        <v/>
      </c>
      <c r="S112" s="26" t="str">
        <f>'System Parameters'!I64</f>
        <v/>
      </c>
      <c r="T112" s="26" t="str">
        <f>'System Parameters'!J64</f>
        <v/>
      </c>
      <c r="U112" s="26" t="str">
        <f>'System Parameters'!K64</f>
        <v/>
      </c>
      <c r="V112" s="26" t="str">
        <f>'System Parameters'!L64</f>
        <v/>
      </c>
    </row>
    <row r="113">
      <c r="A113" s="26" t="str">
        <f>'System Parameters'!A65</f>
        <v/>
      </c>
      <c r="B113" s="26" t="str">
        <f>'System Parameters'!B65</f>
        <v/>
      </c>
      <c r="C113" s="26" t="str">
        <f>'System Parameters'!C65</f>
        <v/>
      </c>
      <c r="D113" s="26" t="str">
        <f>'System Parameters'!D65</f>
        <v/>
      </c>
      <c r="O113" s="26" t="str">
        <f>'System Parameters'!E65</f>
        <v/>
      </c>
      <c r="P113" s="26" t="str">
        <f>'System Parameters'!F65</f>
        <v/>
      </c>
      <c r="Q113" s="26" t="str">
        <f>'System Parameters'!G65</f>
        <v/>
      </c>
      <c r="R113" s="26" t="str">
        <f>'System Parameters'!H65</f>
        <v/>
      </c>
      <c r="S113" s="26" t="str">
        <f>'System Parameters'!I65</f>
        <v/>
      </c>
      <c r="T113" s="26" t="str">
        <f>'System Parameters'!J65</f>
        <v/>
      </c>
      <c r="U113" s="26" t="str">
        <f>'System Parameters'!K65</f>
        <v/>
      </c>
      <c r="V113" s="26" t="str">
        <f>'System Parameters'!L65</f>
        <v/>
      </c>
    </row>
    <row r="114">
      <c r="A114" s="26" t="str">
        <f>'System Parameters'!A66</f>
        <v/>
      </c>
      <c r="B114" s="26" t="str">
        <f>'System Parameters'!B66</f>
        <v/>
      </c>
      <c r="C114" s="26" t="str">
        <f>'System Parameters'!C66</f>
        <v/>
      </c>
      <c r="D114" s="26" t="str">
        <f>'System Parameters'!D66</f>
        <v/>
      </c>
      <c r="O114" s="26" t="str">
        <f>'System Parameters'!E66</f>
        <v/>
      </c>
      <c r="P114" s="26" t="str">
        <f>'System Parameters'!F66</f>
        <v/>
      </c>
      <c r="Q114" s="26" t="str">
        <f>'System Parameters'!G66</f>
        <v/>
      </c>
      <c r="R114" s="26" t="str">
        <f>'System Parameters'!H66</f>
        <v/>
      </c>
      <c r="S114" s="26" t="str">
        <f>'System Parameters'!I66</f>
        <v/>
      </c>
      <c r="T114" s="26" t="str">
        <f>'System Parameters'!J66</f>
        <v/>
      </c>
      <c r="U114" s="26" t="str">
        <f>'System Parameters'!K66</f>
        <v/>
      </c>
      <c r="V114" s="26" t="str">
        <f>'System Parameters'!L66</f>
        <v/>
      </c>
    </row>
    <row r="115">
      <c r="A115" s="26" t="str">
        <f>'System Parameters'!A67</f>
        <v/>
      </c>
      <c r="B115" s="26" t="str">
        <f>'System Parameters'!B67</f>
        <v/>
      </c>
      <c r="C115" s="26" t="str">
        <f>'System Parameters'!C67</f>
        <v/>
      </c>
      <c r="D115" s="26" t="str">
        <f>'System Parameters'!D67</f>
        <v/>
      </c>
      <c r="O115" s="26" t="str">
        <f>'System Parameters'!E67</f>
        <v/>
      </c>
      <c r="P115" s="26" t="str">
        <f>'System Parameters'!F67</f>
        <v/>
      </c>
      <c r="Q115" s="26" t="str">
        <f>'System Parameters'!G67</f>
        <v/>
      </c>
      <c r="R115" s="26" t="str">
        <f>'System Parameters'!H67</f>
        <v/>
      </c>
      <c r="S115" s="26" t="str">
        <f>'System Parameters'!I67</f>
        <v/>
      </c>
      <c r="T115" s="26" t="str">
        <f>'System Parameters'!J67</f>
        <v/>
      </c>
      <c r="U115" s="26" t="str">
        <f>'System Parameters'!K67</f>
        <v/>
      </c>
      <c r="V115" s="26" t="str">
        <f>'System Parameters'!L67</f>
        <v/>
      </c>
    </row>
    <row r="116">
      <c r="A116" s="26" t="str">
        <f>'System Parameters'!A68</f>
        <v/>
      </c>
      <c r="B116" s="26" t="str">
        <f>'System Parameters'!B68</f>
        <v/>
      </c>
      <c r="C116" s="26" t="str">
        <f>'System Parameters'!C68</f>
        <v/>
      </c>
      <c r="D116" s="26" t="str">
        <f>'System Parameters'!D68</f>
        <v/>
      </c>
      <c r="O116" s="26" t="str">
        <f>'System Parameters'!E68</f>
        <v/>
      </c>
      <c r="P116" s="26" t="str">
        <f>'System Parameters'!F68</f>
        <v/>
      </c>
      <c r="Q116" s="26" t="str">
        <f>'System Parameters'!G68</f>
        <v/>
      </c>
      <c r="R116" s="26" t="str">
        <f>'System Parameters'!H68</f>
        <v/>
      </c>
      <c r="S116" s="26" t="str">
        <f>'System Parameters'!I68</f>
        <v/>
      </c>
      <c r="T116" s="26" t="str">
        <f>'System Parameters'!J68</f>
        <v/>
      </c>
      <c r="U116" s="26" t="str">
        <f>'System Parameters'!K68</f>
        <v/>
      </c>
      <c r="V116" s="26" t="str">
        <f>'System Parameters'!L68</f>
        <v/>
      </c>
    </row>
    <row r="117">
      <c r="A117" s="26" t="str">
        <f>'System Parameters'!A69</f>
        <v/>
      </c>
      <c r="B117" s="26" t="str">
        <f>'System Parameters'!B69</f>
        <v/>
      </c>
      <c r="C117" s="26" t="str">
        <f>'System Parameters'!C69</f>
        <v/>
      </c>
      <c r="D117" s="26" t="str">
        <f>'System Parameters'!D69</f>
        <v/>
      </c>
      <c r="O117" s="26" t="str">
        <f>'System Parameters'!E69</f>
        <v/>
      </c>
      <c r="P117" s="26" t="str">
        <f>'System Parameters'!F69</f>
        <v/>
      </c>
      <c r="Q117" s="26" t="str">
        <f>'System Parameters'!G69</f>
        <v/>
      </c>
      <c r="R117" s="26" t="str">
        <f>'System Parameters'!H69</f>
        <v/>
      </c>
      <c r="S117" s="26" t="str">
        <f>'System Parameters'!I69</f>
        <v/>
      </c>
      <c r="T117" s="26" t="str">
        <f>'System Parameters'!J69</f>
        <v/>
      </c>
      <c r="U117" s="26" t="str">
        <f>'System Parameters'!K69</f>
        <v/>
      </c>
      <c r="V117" s="26" t="str">
        <f>'System Parameters'!L69</f>
        <v/>
      </c>
    </row>
    <row r="118">
      <c r="A118" s="26" t="str">
        <f>'System Parameters'!A70</f>
        <v/>
      </c>
      <c r="B118" s="26" t="str">
        <f>'System Parameters'!B70</f>
        <v/>
      </c>
      <c r="C118" s="26" t="str">
        <f>'System Parameters'!C70</f>
        <v/>
      </c>
      <c r="D118" s="26" t="str">
        <f>'System Parameters'!D70</f>
        <v/>
      </c>
      <c r="O118" s="26" t="str">
        <f>'System Parameters'!E70</f>
        <v/>
      </c>
      <c r="P118" s="26" t="str">
        <f>'System Parameters'!F70</f>
        <v/>
      </c>
      <c r="Q118" s="26" t="str">
        <f>'System Parameters'!G70</f>
        <v/>
      </c>
      <c r="R118" s="26" t="str">
        <f>'System Parameters'!H70</f>
        <v/>
      </c>
      <c r="S118" s="26" t="str">
        <f>'System Parameters'!I70</f>
        <v/>
      </c>
      <c r="T118" s="26" t="str">
        <f>'System Parameters'!J70</f>
        <v/>
      </c>
      <c r="U118" s="26" t="str">
        <f>'System Parameters'!K70</f>
        <v/>
      </c>
      <c r="V118" s="26" t="str">
        <f>'System Parameters'!L70</f>
        <v/>
      </c>
    </row>
  </sheetData>
  <drawing r:id="rId1"/>
</worksheet>
</file>